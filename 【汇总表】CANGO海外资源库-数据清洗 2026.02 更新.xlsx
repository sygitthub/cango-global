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138" documentId="13_ncr:1_{A2308C49-FB51-431C-973D-F359C421F5AC}" xr6:coauthVersionLast="47" xr6:coauthVersionMax="47" xr10:uidLastSave="{E48EB59E-708E-44F2-A94B-D06DA0C249B4}"/>
  <bookViews>
    <workbookView xWindow="2730" yWindow="195" windowWidth="26040" windowHeight="14625" tabRatio="596" xr2:uid="{00000000-000D-0000-FFFF-FFFF00000000}"/>
  </bookViews>
  <sheets>
    <sheet name="CANGO海外资源库（总）" sheetId="4" r:id="rId1"/>
    <sheet name="CANGO境内资源库" sheetId="8" r:id="rId2"/>
    <sheet name="已清洗机构清单" sheetId="7" r:id="rId3"/>
    <sheet name="列选信息说明" sheetId="5" r:id="rId4"/>
    <sheet name="海外资源库（更新登记册）" sheetId="6" state="hidden" r:id="rId5"/>
  </sheets>
  <definedNames>
    <definedName name="_xlnm._FilterDatabase" localSheetId="0" hidden="1">'CANGO海外资源库（总）'!$A$3:$AD$319</definedName>
    <definedName name="北美洲__North_America">列选信息说明!$D$2:$D$51</definedName>
    <definedName name="大洋洲__Oceania">列选信息说明!$G$2:$G$51</definedName>
    <definedName name="非洲__Africa">列选信息说明!$C$2:$C$51</definedName>
    <definedName name="南美洲__South_America">列选信息说明!$E$2:$E$51</definedName>
    <definedName name="欧洲__Europe">列选信息说明!$F$2:$F$51</definedName>
    <definedName name="亚洲__Asia">列选信息说明!$B$2:$B$51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8" l="1"/>
  <c r="A6" i="8"/>
  <c r="A7" i="8"/>
  <c r="A8" i="8"/>
  <c r="A9" i="8"/>
  <c r="A10" i="8"/>
  <c r="A11" i="8"/>
  <c r="A12" i="8"/>
  <c r="A13" i="8"/>
  <c r="A14" i="8"/>
  <c r="A15" i="8"/>
  <c r="A16" i="8"/>
  <c r="A17" i="8"/>
  <c r="A18" i="8"/>
  <c r="A19" i="8"/>
  <c r="A20" i="8"/>
  <c r="A21" i="8"/>
  <c r="A22" i="8"/>
  <c r="A23" i="8"/>
  <c r="A24" i="8"/>
  <c r="A25" i="8"/>
  <c r="A26" i="8"/>
  <c r="A27" i="8"/>
  <c r="A28" i="8"/>
  <c r="A29" i="8"/>
  <c r="A30" i="8"/>
  <c r="A31" i="8"/>
  <c r="A32" i="8"/>
  <c r="A4" i="8"/>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W133" i="4"/>
  <c r="A111"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5" i="4"/>
  <c r="A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tc={D089F48C-8489-C647-8ACB-E631E6001C45}</author>
    <author>tc={5BD8EF08-D9FE-4D2D-B1EB-40B23588E537}</author>
    <author>tc={E7EC8DF6-C122-4F88-942B-C01417E0F12C}</author>
  </authors>
  <commentList>
    <comment ref="AC4" authorId="0" shapeId="0" xr:uid="{D089F48C-8489-C647-8ACB-E631E6001C45}">
      <text>
        <t xml:space="preserve">[线程批注]
你的Excel版本可读取此线程批注; 但如果在更新版本的Excel中打开文件，则对批注所作的任何改动都将被删除。了解详细信息: https://go.microsoft.com/fwlink/?linkid=870924
注释:
    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
      </text>
    </comment>
    <comment ref="E22" authorId="1" shapeId="0" xr:uid="{5BD8EF08-D9FE-4D2D-B1EB-40B23588E537}">
      <text>
        <t>[线程批注]
你的Excel版本可读取此线程批注; 但如果在更新版本的Excel中打开文件，则对批注所作的任何改动都将被删除。了解详细信息: https://go.microsoft.com/fwlink/?linkid=870924
注释:
    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
      </text>
    </comment>
    <comment ref="AD25" authorId="2" shapeId="0" xr:uid="{E7EC8DF6-C122-4F88-942B-C01417E0F12C}">
      <text>
        <t>[线程批注]
你的Excel版本可读取此线程批注; 但如果在更新版本的Excel中打开文件，则对批注所作的任何改动都将被删除。了解详细信息: https://go.microsoft.com/fwlink/?linkid=870924
注释:
    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
      </text>
    </comment>
  </commentList>
</comments>
</file>

<file path=xl/sharedStrings.xml><?xml version="1.0" encoding="utf-8"?>
<sst xmlns="http://schemas.openxmlformats.org/spreadsheetml/2006/main" count="6267" uniqueCount="3468">
  <si>
    <t>Caritas Germany</t>
    <phoneticPr fontId="1" type="noConversion"/>
  </si>
  <si>
    <t>Korea Forum of Volunteerism</t>
  </si>
  <si>
    <t>Chi Heng Foundation</t>
    <phoneticPr fontId="1" type="noConversion"/>
  </si>
  <si>
    <t>ClientEarth</t>
    <phoneticPr fontId="1" type="noConversion"/>
  </si>
  <si>
    <t>Diakonisches Werk</t>
    <phoneticPr fontId="1" type="noConversion"/>
  </si>
  <si>
    <t>备注</t>
    <phoneticPr fontId="1" type="noConversion"/>
  </si>
  <si>
    <t>大州</t>
    <phoneticPr fontId="1" type="noConversion"/>
  </si>
  <si>
    <t>亚洲 (Asia)</t>
  </si>
  <si>
    <t>非洲 (Africa)</t>
  </si>
  <si>
    <t>北美洲 (North America)</t>
  </si>
  <si>
    <t>南美洲 (South America)</t>
  </si>
  <si>
    <t>欧洲 (Europe)</t>
  </si>
  <si>
    <t>大洋洲 (Oceania)</t>
  </si>
  <si>
    <t>阿富汗 (Afghanistan)</t>
  </si>
  <si>
    <t>阿联酋 (United Arab Emirates)</t>
  </si>
  <si>
    <t>阿曼 (Oman)</t>
  </si>
  <si>
    <t>阿塞拜疆 (Azerbaijan)</t>
  </si>
  <si>
    <t>巴基斯坦 (Pakistan)</t>
  </si>
  <si>
    <t>巴勒斯坦 (Palestine)</t>
  </si>
  <si>
    <t>巴林 (Bahrain)</t>
  </si>
  <si>
    <t>孟加拉国 (Bangladesh)</t>
  </si>
  <si>
    <t>不丹 (Bhutan)</t>
  </si>
  <si>
    <t>朝鲜 (North Korea)</t>
  </si>
  <si>
    <t>东帝汶 (Timor-Leste)</t>
  </si>
  <si>
    <t>菲律宾 (Philippines)</t>
  </si>
  <si>
    <t>格鲁吉亚 (Georgia)</t>
  </si>
  <si>
    <t>哈萨克斯坦 (Kazakhstan)</t>
  </si>
  <si>
    <t>韩国 (South Korea)</t>
  </si>
  <si>
    <t>吉尔吉斯斯坦 (Kyrgyzstan)</t>
  </si>
  <si>
    <t>柬埔寨 (Cambodia)</t>
  </si>
  <si>
    <t>卡塔尔 (Qatar)</t>
  </si>
  <si>
    <t>科威特 (Kuwait)</t>
  </si>
  <si>
    <t>老挝 (Laos)</t>
  </si>
  <si>
    <t>黎巴嫩 (Lebanon)</t>
  </si>
  <si>
    <t>马尔代夫 (Maldives)</t>
  </si>
  <si>
    <t>马来西亚 (Malaysia)</t>
  </si>
  <si>
    <t xml:space="preserve">蒙古 (Mongolia)   </t>
  </si>
  <si>
    <t>缅甸 (Myanmar)</t>
  </si>
  <si>
    <t>尼泊尔 (Nepal)</t>
  </si>
  <si>
    <t>日本 (Japan)</t>
  </si>
  <si>
    <t>沙特阿拉伯 (Saudi Arabia)</t>
  </si>
  <si>
    <t>斯里兰卡 (Sri Lanka)</t>
  </si>
  <si>
    <t>塔吉克斯坦 (Tajikistan)</t>
  </si>
  <si>
    <t>泰国 (Thailand)</t>
  </si>
  <si>
    <t>土耳其 (Turkey)</t>
  </si>
  <si>
    <t>土库曼斯坦 (Turkmenistan)</t>
  </si>
  <si>
    <t xml:space="preserve">乌兹别克斯坦 (Uzbekistan)   </t>
  </si>
  <si>
    <t>文莱 (Brunei)</t>
  </si>
  <si>
    <t>越南 (Vietnam)</t>
  </si>
  <si>
    <t>新加坡 (Singapore)</t>
  </si>
  <si>
    <t>叙利亚 (Syria)</t>
  </si>
  <si>
    <t>也门 (Yemen)</t>
  </si>
  <si>
    <t>伊拉克 (Iraq)</t>
  </si>
  <si>
    <t>伊朗 (Iran)</t>
  </si>
  <si>
    <t>以色列 (Israel)</t>
  </si>
  <si>
    <t>印度 (India)</t>
  </si>
  <si>
    <t>印度尼西亚 (Indonesia)</t>
  </si>
  <si>
    <t>约旦 (Jordan)</t>
  </si>
  <si>
    <t>中国 (China)</t>
  </si>
  <si>
    <t>阿尔及利亚 (Algeria)</t>
  </si>
  <si>
    <t>安哥拉 (Angola)</t>
  </si>
  <si>
    <t>贝宁 (Benin)</t>
  </si>
  <si>
    <t>博茨瓦纳 (Botswana)</t>
  </si>
  <si>
    <t>布基纳法索 (Burkina Faso)</t>
  </si>
  <si>
    <t>布隆迪 (Burundi)</t>
  </si>
  <si>
    <t>赤道几内亚 (Equatorial Guinea)</t>
  </si>
  <si>
    <t>多哥 (Togo)</t>
  </si>
  <si>
    <t>厄立特里亚 (Eritrea)</t>
  </si>
  <si>
    <t>佛得角 (Cabo Verde)</t>
  </si>
  <si>
    <t>冈比亚 (Gambia)</t>
  </si>
  <si>
    <t>刚果（布）(Republic of the Congo)</t>
  </si>
  <si>
    <t>刚果（金）(Democratic Republic of the Congo)</t>
  </si>
  <si>
    <t>吉布提 (Djibouti)</t>
  </si>
  <si>
    <t>加纳 (Ghana)</t>
  </si>
  <si>
    <t>加蓬 (Gabon)</t>
  </si>
  <si>
    <t>津巴布韦 (Zimbabwe)</t>
  </si>
  <si>
    <t>喀麦隆 (Cameroon)</t>
  </si>
  <si>
    <t>科摩罗 (Comoros)</t>
  </si>
  <si>
    <t>肯尼亚 (Kenya)</t>
  </si>
  <si>
    <t>莱索托 (Lesotho)</t>
  </si>
  <si>
    <t>利比里亚 (Liberia)</t>
  </si>
  <si>
    <t>利比亚 (Libya)</t>
  </si>
  <si>
    <t>卢旺达 (Rwanda)</t>
  </si>
  <si>
    <t>马达加斯加 (Madagascar)</t>
  </si>
  <si>
    <t>马拉维 (Malawi)</t>
  </si>
  <si>
    <t>马里 (Mali)</t>
  </si>
  <si>
    <t>毛里求斯 (Mauritius)</t>
  </si>
  <si>
    <t>毛里塔尼亚 (Mauritania)</t>
  </si>
  <si>
    <t>摩洛哥 (Morocco)</t>
  </si>
  <si>
    <t>莫桑比克 (Mozambique)</t>
  </si>
  <si>
    <t>纳米比亚 (Namibia)</t>
  </si>
  <si>
    <t>南非 (South Africa)</t>
  </si>
  <si>
    <t xml:space="preserve">南苏丹 (South Sudan)   </t>
  </si>
  <si>
    <t>尼日尔 (Niger)</t>
  </si>
  <si>
    <t>尼日利亚 (Nigeria)</t>
  </si>
  <si>
    <t>塞拉利昂 (Sierra Leone)</t>
  </si>
  <si>
    <t>塞内加尔 (Senegal)</t>
  </si>
  <si>
    <t>塞舌尔 (Seychelles)</t>
  </si>
  <si>
    <t>圣多美和普林西比 (Sao Tome and Principe)</t>
  </si>
  <si>
    <t>斯威士兰 (Eswatini)</t>
  </si>
  <si>
    <t>苏丹 (Sudan)</t>
  </si>
  <si>
    <t>索马里 (Somalia)</t>
  </si>
  <si>
    <t>坦桑尼亚 (Tanzania)</t>
  </si>
  <si>
    <t>突尼斯 (Tunisia)</t>
  </si>
  <si>
    <t>乌干达 (Uganda)</t>
  </si>
  <si>
    <t>赞比亚 (Zambia)</t>
  </si>
  <si>
    <t>乍得 (Chad)</t>
  </si>
  <si>
    <t>中非共和国 (Central African Republic)</t>
  </si>
  <si>
    <t>加拿大 (Canada)</t>
  </si>
  <si>
    <t>美国 (United States)</t>
  </si>
  <si>
    <t>墨西哥 (Mexico)</t>
  </si>
  <si>
    <t>危地马拉 (Guatemala)</t>
  </si>
  <si>
    <t>伯利兹 (Belize)</t>
  </si>
  <si>
    <t>萨尔瓦多 (El Salvador)</t>
  </si>
  <si>
    <t>洪都拉斯 (Honduras)</t>
  </si>
  <si>
    <t>尼加拉瓜 (Nicaragua)</t>
  </si>
  <si>
    <t>哥斯达黎加 (Costa Rica)</t>
  </si>
  <si>
    <t>巴拿马 (Panama)</t>
  </si>
  <si>
    <t>古巴 (Cuba)</t>
  </si>
  <si>
    <t>海地 (Haiti)</t>
  </si>
  <si>
    <t>多米尼加共和国 (Dominican Republic)</t>
  </si>
  <si>
    <t>牙买加 (Jamaica)</t>
  </si>
  <si>
    <t>特立尼达和多巴哥 (Trinidad and Tobago)</t>
  </si>
  <si>
    <t>巴巴多斯 (Barbados)</t>
  </si>
  <si>
    <t>巴哈马 (Bahamas)</t>
  </si>
  <si>
    <t>格林纳达 (Grenada)</t>
  </si>
  <si>
    <t>圣卢西亚 (Saint Lucia)</t>
  </si>
  <si>
    <t>圣文森特和格林纳丁斯 (Saint Vincent and the Grenadines)</t>
  </si>
  <si>
    <t>安提瓜和巴布达 (Antigua and Barbuda)</t>
  </si>
  <si>
    <t>多米尼克 (Dominica)</t>
  </si>
  <si>
    <t>圣基茨和尼维斯 (Saint Kitts and Nevis)</t>
  </si>
  <si>
    <t>阿根廷 (Argentina)</t>
  </si>
  <si>
    <t>玻利维亚 (Bolivia)</t>
  </si>
  <si>
    <t>巴西 (Brazil)</t>
  </si>
  <si>
    <t>智利 (Chile)</t>
  </si>
  <si>
    <t>哥伦比亚 (Colombia)</t>
  </si>
  <si>
    <t>厄瓜多尔 (Ecuador)</t>
  </si>
  <si>
    <t>圭亚那 (Guyana)</t>
  </si>
  <si>
    <t>巴拉圭 (Paraguay)</t>
  </si>
  <si>
    <t>秘鲁 (Peru)</t>
  </si>
  <si>
    <t>苏里南 (Suriname)</t>
  </si>
  <si>
    <t>乌拉圭 (Uruguay)</t>
  </si>
  <si>
    <t xml:space="preserve">委内瑞拉 (Venezuela)   </t>
  </si>
  <si>
    <t>阿尔巴尼亚 (Albania)</t>
  </si>
  <si>
    <t>安道尔 (Andorra)</t>
  </si>
  <si>
    <t>奥地利 (Austria)</t>
  </si>
  <si>
    <t>白俄罗斯 (Belarus)</t>
  </si>
  <si>
    <t>比利时 (Belgium)</t>
  </si>
  <si>
    <t>波斯尼亚和黑塞哥维那 (Bosnia and Herzegovina)</t>
  </si>
  <si>
    <t>保加利亚 (Bulgaria)</t>
  </si>
  <si>
    <t>冰岛 (Iceland)</t>
  </si>
  <si>
    <t>爱尔兰 (Ireland)</t>
  </si>
  <si>
    <t>爱沙尼亚 (Estonia)</t>
  </si>
  <si>
    <t>俄罗斯 (Russia)</t>
  </si>
  <si>
    <t>法国 (France)</t>
  </si>
  <si>
    <t>芬兰 (Finland)</t>
  </si>
  <si>
    <t>荷兰 (Netherlands)</t>
  </si>
  <si>
    <t>捷克 (Czechia)</t>
  </si>
  <si>
    <t>克罗地亚 (Croatia)</t>
  </si>
  <si>
    <t>拉脱维亚 (Latvia)</t>
  </si>
  <si>
    <t>立陶宛 (Lithuania)</t>
  </si>
  <si>
    <t>列支敦士登 (Liechtenstein)</t>
  </si>
  <si>
    <t>卢森堡 (Luxembourg)</t>
  </si>
  <si>
    <t>罗马尼亚 (Romania)</t>
  </si>
  <si>
    <t>马耳他 (Malta)</t>
  </si>
  <si>
    <t>马其顿 (North Macedonia)</t>
  </si>
  <si>
    <t>摩尔多瓦 (Moldova)</t>
  </si>
  <si>
    <t>摩纳哥 (Monaco)</t>
  </si>
  <si>
    <t>黑山 (Montenegro)</t>
  </si>
  <si>
    <t>挪威 (Norway)</t>
  </si>
  <si>
    <t>葡萄牙 (Portugal)</t>
  </si>
  <si>
    <t>瑞典 (Sweden)</t>
  </si>
  <si>
    <t>瑞士 (Switzerland)</t>
  </si>
  <si>
    <t>塞尔维亚 (Serbia)</t>
  </si>
  <si>
    <t>塞浦路斯 (Cyprus)</t>
  </si>
  <si>
    <t>圣马力诺 (San Marino)</t>
  </si>
  <si>
    <t>斯洛伐克 (Slovakia)</t>
  </si>
  <si>
    <t>斯洛文尼亚 (Slovenia)</t>
  </si>
  <si>
    <t>西班牙 (Spain)</t>
  </si>
  <si>
    <t>希腊 (Greece)</t>
  </si>
  <si>
    <t>匈牙利 (Hungary)</t>
  </si>
  <si>
    <t>意大利 (Italy)</t>
  </si>
  <si>
    <t>英国 (United Kingdom)</t>
  </si>
  <si>
    <t>乌克兰 (Ukraine)</t>
  </si>
  <si>
    <t>德国 (Germany)</t>
  </si>
  <si>
    <t>丹麦 (Denmark)</t>
  </si>
  <si>
    <t>波兰 (Poland)</t>
  </si>
  <si>
    <t>梵蒂冈 (Vatican City)</t>
  </si>
  <si>
    <t>澳大利亚 (Australia)</t>
  </si>
  <si>
    <t>新西兰 (New Zealand)</t>
  </si>
  <si>
    <t>巴布亚新几内亚 (Papua New Guinea)</t>
  </si>
  <si>
    <t>斐济 (Fiji)</t>
  </si>
  <si>
    <t>所罗门群岛 (Solomon Islands)</t>
  </si>
  <si>
    <t>瓦努阿图 (Vanuatu)</t>
  </si>
  <si>
    <t>萨摩亚 (Samoa)</t>
  </si>
  <si>
    <t>基里巴斯 (Kiribati)</t>
  </si>
  <si>
    <t>图瓦卢 (Tuvalu)</t>
  </si>
  <si>
    <t>密克罗尼西亚联邦 (Federated States of Micronesia)</t>
  </si>
  <si>
    <t>马绍尔群岛 (Marshall Islands)</t>
  </si>
  <si>
    <t>帕劳 (Palau)</t>
  </si>
  <si>
    <t>瑙鲁 (Nauru)</t>
  </si>
  <si>
    <t>汤加 (Tonga)</t>
  </si>
  <si>
    <t>亚洲 (Asia)</t>
    <phoneticPr fontId="1" type="noConversion"/>
  </si>
  <si>
    <t>非洲 (Africa)</t>
    <phoneticPr fontId="1" type="noConversion"/>
  </si>
  <si>
    <t>北美洲 (North America)</t>
    <phoneticPr fontId="1" type="noConversion"/>
  </si>
  <si>
    <t>南美洲 (South America)</t>
    <phoneticPr fontId="1" type="noConversion"/>
  </si>
  <si>
    <t>欧洲 (Europe)</t>
    <phoneticPr fontId="1" type="noConversion"/>
  </si>
  <si>
    <t>大洋洲 (Oceania)</t>
    <phoneticPr fontId="1" type="noConversion"/>
  </si>
  <si>
    <t>科特迪瓦 (Cote d Ivoire)</t>
    <phoneticPr fontId="1" type="noConversion"/>
  </si>
  <si>
    <t>是否在中国有分支机构</t>
    <phoneticPr fontId="1" type="noConversion"/>
  </si>
  <si>
    <t>是</t>
    <phoneticPr fontId="1" type="noConversion"/>
  </si>
  <si>
    <t>否</t>
    <phoneticPr fontId="1" type="noConversion"/>
  </si>
  <si>
    <t>不明</t>
    <phoneticPr fontId="1" type="noConversion"/>
  </si>
  <si>
    <t>关注议题</t>
    <phoneticPr fontId="1" type="noConversion"/>
  </si>
  <si>
    <t>机构类型分类（中英文）</t>
  </si>
  <si>
    <t>直接在一线执行项目的组织，如本地NGO、技术支持组织、服务提供者等。例：CARE, Save the Children</t>
  </si>
  <si>
    <t>提供资金支持，不直接执行项目，通常包括基金会、援助机构、捐赠者组织。例：Ford Foundation, Global Greengrants Fund</t>
  </si>
  <si>
    <t>主要职能为协调、联结、信息分享与平台建设，不直接资助或执行项目。例：CAN, Forus, ICVA</t>
  </si>
  <si>
    <t>同时具备执行、资助、平台等多重职能的综合型组织。例：Oxfam, UNDP</t>
  </si>
  <si>
    <t>以研究、政策分析、评估、技术支持为主，不属于直接执行方。例：IIED, Brookings Institution</t>
  </si>
  <si>
    <t>机构类型包含说明举例</t>
    <phoneticPr fontId="1" type="noConversion"/>
  </si>
  <si>
    <t>对一议题举例</t>
    <phoneticPr fontId="1" type="noConversion"/>
  </si>
  <si>
    <t>业务开展区域</t>
    <phoneticPr fontId="1" type="noConversion"/>
  </si>
  <si>
    <t>含义说明</t>
  </si>
  <si>
    <t>当前有正在执行的联合项目、共建网络、联合倡导、资助关系等</t>
  </si>
  <si>
    <t>过去有项目合作或互动，当前暂无活跃合作</t>
  </si>
  <si>
    <t>尚无接触或未建立合作关系</t>
  </si>
  <si>
    <t>合作现状分类</t>
    <phoneticPr fontId="1" type="noConversion"/>
  </si>
  <si>
    <t>以资金运作和资助为主的非营利法人机构，通常有固定基金池与捐赠结构，如Ford Foundation、腾讯基金会</t>
  </si>
  <si>
    <t>包括大学、研究院、智库、独立研究中心等，如清华大学、IIED、Brookings Institution</t>
  </si>
  <si>
    <t>以宗教价值驱动，隶属于或服务于宗教团体，如Caritas、Islamic Relief、世界宣明会</t>
  </si>
  <si>
    <t>具有明确政府背景或公立属性（含执行机构或官方资助设立），如GIZ、中国国际发展合作署（CIDCA）</t>
  </si>
  <si>
    <t>包括联合国系统机构、开发银行、多边援助机构等，如UNDP、World Bank、ADB</t>
  </si>
  <si>
    <t>包括盈利机构、B Corp企业、以商业方式推动社会目标的组织，如Barefoot College、阿里巴巴公益、Patagonia</t>
  </si>
  <si>
    <t>机构性质分类</t>
    <phoneticPr fontId="1" type="noConversion"/>
  </si>
  <si>
    <t>机构性质分类说明</t>
    <phoneticPr fontId="1" type="noConversion"/>
  </si>
  <si>
    <t>通常为注册或非正式的非营利组织</t>
    <phoneticPr fontId="1" type="noConversion"/>
  </si>
  <si>
    <t>双方曾接触、表达合作兴趣或准备探索合作，无实质内容落地</t>
    <phoneticPr fontId="1" type="noConversion"/>
  </si>
  <si>
    <t>以公众传播、倡导、调查报道为主的法人机构，如Thomson Reuters Foundation、开放民主（OpenDemocracy）</t>
    <phoneticPr fontId="1" type="noConversion"/>
  </si>
  <si>
    <t>Japan NGO Center for International Cooperation</t>
    <phoneticPr fontId="1" type="noConversion"/>
  </si>
  <si>
    <t xml:space="preserve"> JANIC</t>
    <phoneticPr fontId="1" type="noConversion"/>
  </si>
  <si>
    <t>Senior Advocacy Officer</t>
    <phoneticPr fontId="1" type="noConversion"/>
  </si>
  <si>
    <t>horiuchi@janic.org</t>
    <phoneticPr fontId="1" type="noConversion"/>
  </si>
  <si>
    <t>+81-3-5292-2911</t>
    <phoneticPr fontId="1" type="noConversion"/>
  </si>
  <si>
    <t>非政府组织 / 社会组织 
(Non-Governmental / Civil Society Organization)</t>
    <phoneticPr fontId="1" type="noConversion"/>
  </si>
  <si>
    <t>基金会 / 慈善信托 
(Foundation / Charitable Trust)</t>
    <phoneticPr fontId="1" type="noConversion"/>
  </si>
  <si>
    <t>学术与科研机构 
(Academic / Research Institution)</t>
    <phoneticPr fontId="1" type="noConversion"/>
  </si>
  <si>
    <t>宗教组织 
(Faith-Based Organization)</t>
    <phoneticPr fontId="1" type="noConversion"/>
  </si>
  <si>
    <t>政府背景机构 
(Government-Affiliated Organization)</t>
    <phoneticPr fontId="1" type="noConversion"/>
  </si>
  <si>
    <t>政府间国际组织 / 多边机构 
(Intergovernmental / Multilateral Organization)</t>
    <phoneticPr fontId="1" type="noConversion"/>
  </si>
  <si>
    <t>企业或社会企业 
(Corporation / Social Enterprise)</t>
    <phoneticPr fontId="1" type="noConversion"/>
  </si>
  <si>
    <t>媒体与公共传播机构 
(Media / Public Interest Communication)</t>
    <phoneticPr fontId="1" type="noConversion"/>
  </si>
  <si>
    <t>无 (N/A)</t>
    <phoneticPr fontId="1" type="noConversion"/>
  </si>
  <si>
    <t>环境与气候变化 
(Environment &amp; Climate Change)</t>
    <phoneticPr fontId="1" type="noConversion"/>
  </si>
  <si>
    <t>教育与能力建设 
(Education &amp; Capacity Building)</t>
    <phoneticPr fontId="1" type="noConversion"/>
  </si>
  <si>
    <t>人权与社会正义 
(Human Rights &amp; Social Justice)</t>
    <phoneticPr fontId="1" type="noConversion"/>
  </si>
  <si>
    <t>健康与公共卫生 
(Health &amp; Public Health)</t>
    <phoneticPr fontId="1" type="noConversion"/>
  </si>
  <si>
    <t>社区发展与减贫 
(Community Development &amp; Poverty Reduction)</t>
    <phoneticPr fontId="1" type="noConversion"/>
  </si>
  <si>
    <t>食品安全与可持续农业 
(Food Security &amp; Sustainable Agriculture)</t>
    <phoneticPr fontId="1" type="noConversion"/>
  </si>
  <si>
    <t>可持续发展目标推进 
(SDG Integration)</t>
    <phoneticPr fontId="1" type="noConversion"/>
  </si>
  <si>
    <t>数字技术与治理创新 
(Digital Technology &amp; Governance Innovation)</t>
    <phoneticPr fontId="1" type="noConversion"/>
  </si>
  <si>
    <t>灾害风险与人道援助 
(Humanitarian Aid &amp; Disaster Risk Reduction)</t>
    <phoneticPr fontId="1" type="noConversion"/>
  </si>
  <si>
    <t>执行型机构 
(Implementing Organization)</t>
    <phoneticPr fontId="1" type="noConversion"/>
  </si>
  <si>
    <t>资助型机构 
(Funding Organization)</t>
    <phoneticPr fontId="1" type="noConversion"/>
  </si>
  <si>
    <t>网络型机构 
(Network Organization)</t>
    <phoneticPr fontId="1" type="noConversion"/>
  </si>
  <si>
    <t>混合型机构 
(Hybrid Organization)</t>
    <phoneticPr fontId="1" type="noConversion"/>
  </si>
  <si>
    <t>咨询/研究机构 
(Research &amp; Consulting Organization)</t>
    <phoneticPr fontId="1" type="noConversion"/>
  </si>
  <si>
    <t>正在合作 
(Active Cooperation)</t>
    <phoneticPr fontId="1" type="noConversion"/>
  </si>
  <si>
    <t>曾有合作 
(Past Cooperation)</t>
    <phoneticPr fontId="1" type="noConversion"/>
  </si>
  <si>
    <t>有合作意向 
(Potential Cooperation)</t>
    <phoneticPr fontId="1" type="noConversion"/>
  </si>
  <si>
    <t>无合作 
(No Cooperation)</t>
    <phoneticPr fontId="1" type="noConversion"/>
  </si>
  <si>
    <t>本国 
(Domestic)</t>
    <phoneticPr fontId="1" type="noConversion"/>
  </si>
  <si>
    <t>东亚 
(East Asia)</t>
    <phoneticPr fontId="1" type="noConversion"/>
  </si>
  <si>
    <t>东南亚 
(Southeast Asia)</t>
    <phoneticPr fontId="1" type="noConversion"/>
  </si>
  <si>
    <t>南亚 
(South Asia)</t>
    <phoneticPr fontId="1" type="noConversion"/>
  </si>
  <si>
    <t>中东 
(Middle East)</t>
    <phoneticPr fontId="1" type="noConversion"/>
  </si>
  <si>
    <t>东非 
(East Africa)</t>
    <phoneticPr fontId="1" type="noConversion"/>
  </si>
  <si>
    <t>北非 
(North Africa)</t>
    <phoneticPr fontId="1" type="noConversion"/>
  </si>
  <si>
    <t>非洲南部 
(South Africa)</t>
    <phoneticPr fontId="1" type="noConversion"/>
  </si>
  <si>
    <t>欧洲 
(Europe)</t>
    <phoneticPr fontId="1" type="noConversion"/>
  </si>
  <si>
    <t>美洲 
(Americas)</t>
    <phoneticPr fontId="1" type="noConversion"/>
  </si>
  <si>
    <t>大洋洲 
(Oceania)</t>
    <phoneticPr fontId="1" type="noConversion"/>
  </si>
  <si>
    <t>南极洲 (Antarctica)</t>
    <phoneticPr fontId="1" type="noConversion"/>
  </si>
  <si>
    <t>性别平等与多样性 
(Gender Equality &amp; Diversity)</t>
    <phoneticPr fontId="1" type="noConversion"/>
  </si>
  <si>
    <t>登记人</t>
    <phoneticPr fontId="1" type="noConversion"/>
  </si>
  <si>
    <t>维护原因</t>
    <phoneticPr fontId="1" type="noConversion"/>
  </si>
  <si>
    <t>更新内容</t>
    <phoneticPr fontId="1" type="noConversion"/>
  </si>
  <si>
    <t>更新日期</t>
    <phoneticPr fontId="1" type="noConversion"/>
  </si>
  <si>
    <t>x'x'x</t>
    <phoneticPr fontId="1" type="noConversion"/>
  </si>
  <si>
    <t>受影响机构</t>
    <phoneticPr fontId="1" type="noConversion"/>
  </si>
  <si>
    <t>气候适应与减缓、生物多样性、可再生能源、自然保护、污染治理、碳市场</t>
    <phoneticPr fontId="1" type="noConversion"/>
  </si>
  <si>
    <t>性别平等、LGBTQ+权益、女性赋权、残障融合、少数群体包容</t>
    <phoneticPr fontId="1" type="noConversion"/>
  </si>
  <si>
    <t>公民权利、劳工权益、法律援助、难民/移民权益、社会运动与倡导</t>
    <phoneticPr fontId="1" type="noConversion"/>
  </si>
  <si>
    <t>青年教育、成人教育、教育公平、职业培训、数字素养</t>
    <phoneticPr fontId="1" type="noConversion"/>
  </si>
  <si>
    <t>妇幼健康、心理健康、传染病防控、卫生基础设施、老年人健康</t>
    <phoneticPr fontId="1" type="noConversion"/>
  </si>
  <si>
    <t>基础服务、社会保障、生计支持、乡村振兴、住房与交通</t>
    <phoneticPr fontId="1" type="noConversion"/>
  </si>
  <si>
    <t>粮食系统、农业转型、气候智慧农业、农民组织支持</t>
    <phoneticPr fontId="1" type="noConversion"/>
  </si>
  <si>
    <t>多议题融合倡导、跨部门合作、全球治理参与、数据与评估</t>
    <phoneticPr fontId="1" type="noConversion"/>
  </si>
  <si>
    <t>灾害应急、风险管理、人道援助、冲突与灾后重建</t>
    <phoneticPr fontId="1" type="noConversion"/>
  </si>
  <si>
    <t>数字公益、AI伦理、技术赋能社会组织、数据治理、信息透明</t>
    <phoneticPr fontId="1" type="noConversion"/>
  </si>
  <si>
    <t>e.g. 新增/修改/删除
（修改xxx机构联络人）</t>
    <phoneticPr fontId="1" type="noConversion"/>
  </si>
  <si>
    <t>e.g. 机构联络人变更</t>
    <phoneticPr fontId="1" type="noConversion"/>
  </si>
  <si>
    <t>Tanzania-China Friendship Promotion Association</t>
    <phoneticPr fontId="1" type="noConversion"/>
  </si>
  <si>
    <t>Bread for the World</t>
    <phoneticPr fontId="1" type="noConversion"/>
  </si>
  <si>
    <t>Brot für die Welt</t>
    <phoneticPr fontId="1" type="noConversion"/>
  </si>
  <si>
    <t>https://www.brot-fuer-die-welt.de/en/bread-for-the-world/</t>
    <phoneticPr fontId="1" type="noConversion"/>
  </si>
  <si>
    <t>https://www.janic.org</t>
    <phoneticPr fontId="1" type="noConversion"/>
  </si>
  <si>
    <t>Tel.: +49 30 65211-1189</t>
    <phoneticPr fontId="1" type="noConversion"/>
  </si>
  <si>
    <t>kontakt@brot-fuer-die-welt.de</t>
    <phoneticPr fontId="1" type="noConversion"/>
  </si>
  <si>
    <t>Bund für Umwelt und Naturschutz Deutschland (BUND)</t>
    <phoneticPr fontId="1" type="noConversion"/>
  </si>
  <si>
    <t>Friends of the Earth Germany</t>
    <phoneticPr fontId="1" type="noConversion"/>
  </si>
  <si>
    <t>Olaf Bandt</t>
    <phoneticPr fontId="1" type="noConversion"/>
  </si>
  <si>
    <t>presse@bund.net</t>
    <phoneticPr fontId="1" type="noConversion"/>
  </si>
  <si>
    <t>+49 (0)30 27586-0</t>
    <phoneticPr fontId="1" type="noConversion"/>
  </si>
  <si>
    <t>http://www.bund.net</t>
    <phoneticPr fontId="1" type="noConversion"/>
  </si>
  <si>
    <t>Climate Action Network International</t>
    <phoneticPr fontId="1" type="noConversion"/>
  </si>
  <si>
    <t>CAN-I</t>
    <phoneticPr fontId="1" type="noConversion"/>
  </si>
  <si>
    <t xml:space="preserve">	1989</t>
    <phoneticPr fontId="1" type="noConversion"/>
  </si>
  <si>
    <t>Ms. Tasneem Essop</t>
    <phoneticPr fontId="1" type="noConversion"/>
  </si>
  <si>
    <t>Executive Director</t>
    <phoneticPr fontId="1" type="noConversion"/>
  </si>
  <si>
    <t>https://climatenetwork.org</t>
    <phoneticPr fontId="1" type="noConversion"/>
  </si>
  <si>
    <t xml:space="preserve">	+49 (0) 228 504 26 99</t>
    <phoneticPr fontId="1" type="noConversion"/>
  </si>
  <si>
    <t>info@climatenetwork.org</t>
    <phoneticPr fontId="1" type="noConversion"/>
  </si>
  <si>
    <t>Caritas</t>
    <phoneticPr fontId="1" type="noConversion"/>
  </si>
  <si>
    <t>Dr. Oliver Müller</t>
    <phoneticPr fontId="1" type="noConversion"/>
  </si>
  <si>
    <t>Head of the International Department</t>
    <phoneticPr fontId="1" type="noConversion"/>
  </si>
  <si>
    <t>caritas.international@caritas.de</t>
    <phoneticPr fontId="1" type="noConversion"/>
  </si>
  <si>
    <t>https://www.caritas-international.de/</t>
    <phoneticPr fontId="1" type="noConversion"/>
  </si>
  <si>
    <t>+49 761 200 0</t>
    <phoneticPr fontId="1" type="noConversion"/>
  </si>
  <si>
    <t>Christoffel-Blindenmission International</t>
    <phoneticPr fontId="1" type="noConversion"/>
  </si>
  <si>
    <t xml:space="preserve">	CBM International</t>
    <phoneticPr fontId="1" type="noConversion"/>
  </si>
  <si>
    <t>Dr. Rainer Brockhaus</t>
    <phoneticPr fontId="1" type="noConversion"/>
  </si>
  <si>
    <t xml:space="preserve">	CEO</t>
    <phoneticPr fontId="1" type="noConversion"/>
  </si>
  <si>
    <t>info@cbm.org</t>
    <phoneticPr fontId="1" type="noConversion"/>
  </si>
  <si>
    <t>+49 6251 131 131</t>
    <phoneticPr fontId="1" type="noConversion"/>
  </si>
  <si>
    <t>International Disability Alliance (IDA)</t>
    <phoneticPr fontId="1" type="noConversion"/>
  </si>
  <si>
    <t>https://www.cbm.org/</t>
    <phoneticPr fontId="1" type="noConversion"/>
  </si>
  <si>
    <t>CIM</t>
    <phoneticPr fontId="1" type="noConversion"/>
  </si>
  <si>
    <t>Center for International Migration and Development</t>
    <phoneticPr fontId="1" type="noConversion"/>
  </si>
  <si>
    <t>Mr. Klaus Schmid</t>
    <phoneticPr fontId="1" type="noConversion"/>
  </si>
  <si>
    <t>Director of CIM Programme</t>
    <phoneticPr fontId="1" type="noConversion"/>
  </si>
  <si>
    <t>cim@cimonline.de</t>
    <phoneticPr fontId="1" type="noConversion"/>
  </si>
  <si>
    <t>https://www.cimonline.de/en</t>
    <phoneticPr fontId="1" type="noConversion"/>
  </si>
  <si>
    <t>+49 6196 79-4202</t>
    <phoneticPr fontId="1" type="noConversion"/>
  </si>
  <si>
    <t>Ulrich Lilie</t>
    <phoneticPr fontId="1" type="noConversion"/>
  </si>
  <si>
    <t xml:space="preserve"> President of Diakonie Deutschland</t>
    <phoneticPr fontId="1" type="noConversion"/>
  </si>
  <si>
    <t>info@diakonie.de</t>
    <phoneticPr fontId="1" type="noConversion"/>
  </si>
  <si>
    <t>https://www.diakonie.de</t>
    <phoneticPr fontId="1" type="noConversion"/>
  </si>
  <si>
    <t>+49 30 65211-0</t>
    <phoneticPr fontId="1" type="noConversion"/>
  </si>
  <si>
    <t>Diakonie Germany</t>
    <phoneticPr fontId="1" type="noConversion"/>
  </si>
  <si>
    <t>Evangelischer Entwicklungsdienst</t>
  </si>
  <si>
    <t>EED</t>
  </si>
  <si>
    <t>info@brot-fuer-die-welt.de</t>
    <phoneticPr fontId="1" type="noConversion"/>
  </si>
  <si>
    <t>https://www.brot-fuer-die-welt.de/</t>
    <phoneticPr fontId="1" type="noConversion"/>
  </si>
  <si>
    <t>Evangelisches Zentralstelle für Entwicklungshilfe</t>
    <phoneticPr fontId="1" type="noConversion"/>
  </si>
  <si>
    <t>EZE</t>
    <phoneticPr fontId="1" type="noConversion"/>
  </si>
  <si>
    <t>Federal Ministry for Economic Cooperation and Development</t>
  </si>
  <si>
    <t>BMZ</t>
  </si>
  <si>
    <t>Svenja Schulze</t>
  </si>
  <si>
    <t>info@bmz.bund.de</t>
  </si>
  <si>
    <t>https://www.bmz.de/en</t>
  </si>
  <si>
    <t>+49 228 99 535-0</t>
  </si>
  <si>
    <t>Federal Ministry for the Environment, Nature Conservation and Nuclear Safety</t>
  </si>
  <si>
    <t>Steffi Lemke</t>
  </si>
  <si>
    <t>buergerinfo@bmuv.bund.de</t>
  </si>
  <si>
    <t>https://www.bmuv.de/</t>
  </si>
  <si>
    <t>+49 228 99 305-0</t>
  </si>
  <si>
    <t>GenderCC – Women for Climate Justice</t>
  </si>
  <si>
    <t>GenderCC</t>
  </si>
  <si>
    <t xml:space="preserve"> Lisa Göldner</t>
    <phoneticPr fontId="1" type="noConversion"/>
  </si>
  <si>
    <t>info@gendercc.net</t>
  </si>
  <si>
    <t>https://www.gendercc.net</t>
  </si>
  <si>
    <t>+49 30 21980088</t>
  </si>
  <si>
    <t>Germanwatch</t>
  </si>
  <si>
    <t>Christoph Bals</t>
  </si>
  <si>
    <t>Policy Director</t>
  </si>
  <si>
    <t>info@germanwatch.org</t>
  </si>
  <si>
    <t>https://www.germanwatch.org/en</t>
  </si>
  <si>
    <t>+49 228 604920</t>
  </si>
  <si>
    <t>Mona Küppers</t>
  </si>
  <si>
    <t>President</t>
  </si>
  <si>
    <t>info@deutscher-frauenring.de</t>
  </si>
  <si>
    <t>+49 30 809 726 730</t>
  </si>
  <si>
    <t>https://www.deutscher-frauenring.de/</t>
    <phoneticPr fontId="1" type="noConversion"/>
  </si>
  <si>
    <t>Germanwatch</t>
    <phoneticPr fontId="1" type="noConversion"/>
  </si>
  <si>
    <t xml:space="preserve">German Women’s Council </t>
    <phoneticPr fontId="1" type="noConversion"/>
  </si>
  <si>
    <t>Deutsche Welthungerhilfe e.V.</t>
    <phoneticPr fontId="1" type="noConversion"/>
  </si>
  <si>
    <t>Welthungerhilfe</t>
    <phoneticPr fontId="1" type="noConversion"/>
  </si>
  <si>
    <t>Mathias Mogge</t>
  </si>
  <si>
    <t>Secretary General and CEO</t>
  </si>
  <si>
    <t>info@welthungerhilfe.de</t>
  </si>
  <si>
    <t>https://www.welthungerhilfe.org/</t>
  </si>
  <si>
    <t>+49 228 2288 0</t>
  </si>
  <si>
    <t>GRÜNE LIGA – Network of Ecological Movements</t>
  </si>
  <si>
    <t>Grüne Liga</t>
  </si>
  <si>
    <t>René Schuster</t>
  </si>
  <si>
    <t>National Coordinator, Water Protection Division</t>
  </si>
  <si>
    <t>info@grueneliga.de</t>
  </si>
  <si>
    <t>https://www.grueneliga.de/</t>
  </si>
  <si>
    <t>+49 30 204 44 68</t>
  </si>
  <si>
    <t>Deutsche Gesellschaft für Technische Zusammenarbeit (GTZ) – Beijing Office</t>
  </si>
  <si>
    <t>GTZ</t>
  </si>
  <si>
    <t>giz-china@giz.de</t>
  </si>
  <si>
    <t>https://www.giz.de/en/worldwide/349.html</t>
  </si>
  <si>
    <t>Dr. Tania Gönner</t>
    <phoneticPr fontId="1" type="noConversion"/>
  </si>
  <si>
    <t>+86 10 8527 5180</t>
  </si>
  <si>
    <t>Heinrich Böll Foundation</t>
  </si>
  <si>
    <t>HBF</t>
  </si>
  <si>
    <t>Imme Scholz</t>
  </si>
  <si>
    <t>info@boell.de</t>
  </si>
  <si>
    <t>https://www.boell.de/en</t>
  </si>
  <si>
    <t>+49 30 28534-0</t>
  </si>
  <si>
    <t>Internationale Weiterbildung und Entwicklung gGmbH</t>
  </si>
  <si>
    <t>InWEnt</t>
  </si>
  <si>
    <t>Konrad Adenauer Foundation</t>
  </si>
  <si>
    <t>KAS</t>
  </si>
  <si>
    <t>Dr. Norbert Lammert</t>
    <phoneticPr fontId="1" type="noConversion"/>
  </si>
  <si>
    <t>info@kas.de</t>
  </si>
  <si>
    <t>https://www.kas.de/en/</t>
  </si>
  <si>
    <t>+49 30 26996-0</t>
  </si>
  <si>
    <t>MISEREOR</t>
  </si>
  <si>
    <t>Pirmin Spiegel</t>
  </si>
  <si>
    <t>info@misereor.de</t>
  </si>
  <si>
    <t>https://www.misereor.org/</t>
  </si>
  <si>
    <t>+49 241 442-0</t>
  </si>
  <si>
    <t>National Council of German Women’s Organizations</t>
  </si>
  <si>
    <t>Beate von Miquel</t>
  </si>
  <si>
    <t>info@frauenrat.de</t>
  </si>
  <si>
    <t>https://www.frauenrat.de/</t>
  </si>
  <si>
    <t>+49 (0)30 30 69 66 40</t>
  </si>
  <si>
    <t>National Network for Civil Society</t>
  </si>
  <si>
    <t>BBE</t>
    <phoneticPr fontId="1" type="noConversion"/>
  </si>
  <si>
    <t>Dr. Ansgar Klein</t>
  </si>
  <si>
    <t>kontakt@b-b-e.de</t>
  </si>
  <si>
    <t>https://www.b-b-e.de/</t>
  </si>
  <si>
    <t>+49 (0)30 62980-110</t>
  </si>
  <si>
    <t>PowerShift</t>
  </si>
  <si>
    <t>Michael Reckordt</t>
  </si>
  <si>
    <t>kontakt@power-shift.de</t>
  </si>
  <si>
    <t>https://power-shift.de/</t>
  </si>
  <si>
    <t>+49 (0)30 4280 4731</t>
  </si>
  <si>
    <t>Robert Bosch Stiftung</t>
  </si>
  <si>
    <t>Dr. Bernhard Straub</t>
  </si>
  <si>
    <t>CEO</t>
    <phoneticPr fontId="1" type="noConversion"/>
  </si>
  <si>
    <t>kontakt@bosch-stiftung.de</t>
  </si>
  <si>
    <t>https://www.bosch-stiftung.de/</t>
  </si>
  <si>
    <t>+49 (0)711 46084-0</t>
  </si>
  <si>
    <t>Rosa Luxemburg Stiftung</t>
  </si>
  <si>
    <t>Dr. Heinz Bierbaum</t>
  </si>
  <si>
    <t>info@rosalux.org</t>
  </si>
  <si>
    <t>https://www.rosalux.de/</t>
  </si>
  <si>
    <t>+49 (0)30 44310-0</t>
  </si>
  <si>
    <t>Stiftung Asienhaus</t>
    <phoneticPr fontId="1" type="noConversion"/>
  </si>
  <si>
    <t>Dr. Thomas Gebauer</t>
  </si>
  <si>
    <t>kontakt@asienhaus.de</t>
  </si>
  <si>
    <t>https://www.asienhaus.de/</t>
  </si>
  <si>
    <t>+49 (0)221 7161 2121</t>
  </si>
  <si>
    <t>Stiftung Mercator</t>
  </si>
  <si>
    <t>Dr. Wolfgang Rohe</t>
    <phoneticPr fontId="1" type="noConversion"/>
  </si>
  <si>
    <t>info@stiftung-mercator.de</t>
    <phoneticPr fontId="1" type="noConversion"/>
  </si>
  <si>
    <t>https://www.stiftung-mercator.de/</t>
    <phoneticPr fontId="1" type="noConversion"/>
  </si>
  <si>
    <t>+49 (0)201 24522-0</t>
    <phoneticPr fontId="1" type="noConversion"/>
  </si>
  <si>
    <t>Waldkindergarten</t>
    <phoneticPr fontId="1" type="noConversion"/>
  </si>
  <si>
    <t>Susanne Clausen</t>
  </si>
  <si>
    <t>info@waldkindergarten.de</t>
  </si>
  <si>
    <t>https://www.bvnw.de/</t>
  </si>
  <si>
    <t>+49 (0)761 429 93 72</t>
  </si>
  <si>
    <t>Association of Chief Executives of Voluntary Organisations</t>
  </si>
  <si>
    <t>ACEVO</t>
  </si>
  <si>
    <t>Jane Ide</t>
  </si>
  <si>
    <t>info@acevo.org.uk</t>
  </si>
  <si>
    <t>https://www.acevo.org.uk</t>
  </si>
  <si>
    <t>+44 (0)20 7014 4600</t>
  </si>
  <si>
    <t>BBC Media Action</t>
  </si>
  <si>
    <t>Head of Partnerships</t>
  </si>
  <si>
    <t>Patricia Asamoah</t>
    <phoneticPr fontId="1" type="noConversion"/>
  </si>
  <si>
    <t>info@bbcmediaaction.org</t>
  </si>
  <si>
    <t>https://www.bbcmediaaction.org</t>
  </si>
  <si>
    <t>+44 (0)20 8008 0010</t>
  </si>
  <si>
    <t>BBC World Service Trust</t>
  </si>
  <si>
    <t>CDP Worldwide</t>
  </si>
  <si>
    <t>CDP</t>
    <phoneticPr fontId="1" type="noConversion"/>
  </si>
  <si>
    <t>info@cdp.net</t>
  </si>
  <si>
    <t>https://www.cdp.net</t>
  </si>
  <si>
    <t>+44 (0)20 3818 3900</t>
  </si>
  <si>
    <t>Chatham House</t>
  </si>
  <si>
    <t>-</t>
    <phoneticPr fontId="1" type="noConversion"/>
  </si>
  <si>
    <t>contact@chathamhouse.org</t>
  </si>
  <si>
    <t>https://www.chathamhouse.org</t>
  </si>
  <si>
    <t>+44 (0)20 7957 5700</t>
  </si>
  <si>
    <t>Children’s Investment Fund Foundation</t>
  </si>
  <si>
    <t>CIFF</t>
  </si>
  <si>
    <t>info@ciff.org</t>
  </si>
  <si>
    <t>https://ciff.org</t>
  </si>
  <si>
    <t>+44 (0)20 3514 3939</t>
  </si>
  <si>
    <t>Founding partner of the Power of Nutrition
Member of Global Nutrition Report
Cooperates with UNICEF, Gavi, WHO, UNFPA
Funding contributor to UNFCCC Climate Champions</t>
    <phoneticPr fontId="1" type="noConversion"/>
  </si>
  <si>
    <t>China Dialogue Trust</t>
    <phoneticPr fontId="1" type="noConversion"/>
  </si>
  <si>
    <t>info@chinadialogue.net</t>
  </si>
  <si>
    <t>https://chinadialogue.net</t>
  </si>
  <si>
    <t>+44 (0)20 7148 6722</t>
  </si>
  <si>
    <t>Centre for Innovation in Health Management</t>
  </si>
  <si>
    <t>CIHM</t>
  </si>
  <si>
    <t>https://business.leeds.ac.uk/centre-innovation-health-management</t>
    <phoneticPr fontId="1" type="noConversion"/>
  </si>
  <si>
    <t>info@clientearth.org</t>
  </si>
  <si>
    <t>https://www.clientearth.org</t>
  </si>
  <si>
    <t>+44 (0)20 7749 5970</t>
  </si>
  <si>
    <t>Department for Environment, Food and Rural Affairs</t>
  </si>
  <si>
    <t>+44 (0)3459 335577</t>
  </si>
  <si>
    <t>Great Britain China Center</t>
  </si>
  <si>
    <t>GBCC</t>
  </si>
  <si>
    <t>https://www.gov.uk/government/organisations/department-for-environment-fhttps://www.gbcc.org.ukood-rural-affairs</t>
    <phoneticPr fontId="1" type="noConversion"/>
  </si>
  <si>
    <t>https://www.gbcc.org.uk</t>
    <phoneticPr fontId="1" type="noConversion"/>
  </si>
  <si>
    <t>info@gbcc.org.uk</t>
    <phoneticPr fontId="1" type="noConversion"/>
  </si>
  <si>
    <t>+44 (0)20 7229 7283</t>
    <phoneticPr fontId="1" type="noConversion"/>
  </si>
  <si>
    <t>Islamic Relief Worldwide</t>
  </si>
  <si>
    <t>IRW</t>
  </si>
  <si>
    <t>Waseem Ahmad</t>
  </si>
  <si>
    <t>irw@irworldwide.org</t>
  </si>
  <si>
    <t>https://www.islamic-relief.org/</t>
  </si>
  <si>
    <t>+44 (0)121 605 5555</t>
  </si>
  <si>
    <t>Oxfam Great Britain</t>
  </si>
  <si>
    <t>Dhananjayan Sriskandarajah</t>
  </si>
  <si>
    <t>enquiries@oxfam.org.uk</t>
  </si>
  <si>
    <t>https://www.oxfam.org.uk/</t>
  </si>
  <si>
    <t>+44 (0)300 200 1300</t>
  </si>
  <si>
    <t>Oxfam UK/GB</t>
    <phoneticPr fontId="1" type="noConversion"/>
  </si>
  <si>
    <t>Save the Children UK</t>
  </si>
  <si>
    <t>Gwen Hines</t>
  </si>
  <si>
    <t>supporter.care@savethechildren.org.uk</t>
  </si>
  <si>
    <t>https://www.savethechildren.org.uk/</t>
  </si>
  <si>
    <t>+44 (0)20 7012 6400</t>
  </si>
  <si>
    <t>The Salvation Army Hong Kong and Macau Command</t>
  </si>
  <si>
    <t>Major Eva Chow</t>
  </si>
  <si>
    <t>info@hk.salvationarmy.org</t>
  </si>
  <si>
    <t>https://www.salvationarmy.org.hk/</t>
  </si>
  <si>
    <t>+852 2783 2333</t>
  </si>
  <si>
    <t>Third Generation Environmentalism</t>
  </si>
  <si>
    <t>E3G</t>
  </si>
  <si>
    <t>Nick Mabey</t>
  </si>
  <si>
    <t>info@e3g.org</t>
  </si>
  <si>
    <t>https://www.e3g.org/</t>
  </si>
  <si>
    <t>+44 (0)20 7593 2020</t>
  </si>
  <si>
    <t>Climate Action Network (CAN)
Green Finance Platform
Global Strategic Communications Council (GSCC)</t>
    <phoneticPr fontId="1" type="noConversion"/>
  </si>
  <si>
    <t>Voluntary Service Overseas</t>
  </si>
  <si>
    <t>VSO</t>
  </si>
  <si>
    <t>Dr. Philip Goodwin</t>
  </si>
  <si>
    <t>enquiry@vsoint.org</t>
  </si>
  <si>
    <t>https://www.vsointernational.org/</t>
  </si>
  <si>
    <t>+44 (0)20 8780 7500</t>
  </si>
  <si>
    <t>World Animal Protection</t>
  </si>
  <si>
    <t>WAP</t>
  </si>
  <si>
    <t>Steve McIvor</t>
  </si>
  <si>
    <t>info@worldanimalprotection.org</t>
  </si>
  <si>
    <t>https://www.worldanimalprotection.org/</t>
  </si>
  <si>
    <t>+44 (0)20 7239 0500</t>
  </si>
  <si>
    <t>Global Coalition for Animal Welfare (GCAW)
International Coalition for Animal Welfare (ICFAW)</t>
    <phoneticPr fontId="1" type="noConversion"/>
  </si>
  <si>
    <t>Association 4D – Dossiers et Débats pour le Développement Durable</t>
  </si>
  <si>
    <t>Association 4D</t>
  </si>
  <si>
    <t>contact@association4d.org</t>
  </si>
  <si>
    <t>https://www.association4d.org/</t>
  </si>
  <si>
    <t>+33 (0)1 44 64 74 14</t>
  </si>
  <si>
    <t>Association for the Development of Citizen and European Initiatives</t>
  </si>
  <si>
    <t>ADICE</t>
  </si>
  <si>
    <t>mobility@adice.fr</t>
  </si>
  <si>
    <t>https://www.adice.fr</t>
  </si>
  <si>
    <t>+33 (0)3 20 11 22 68</t>
  </si>
  <si>
    <t>Eurasia Net</t>
  </si>
  <si>
    <t>contact@eurasianet.eu</t>
  </si>
  <si>
    <t>Forus</t>
    <phoneticPr fontId="1" type="noConversion"/>
  </si>
  <si>
    <t>info@forus-international.org</t>
    <phoneticPr fontId="1" type="noConversion"/>
  </si>
  <si>
    <t>https://eurasianet.eu/</t>
    <phoneticPr fontId="1" type="noConversion"/>
  </si>
  <si>
    <t>https://forus-international.org/</t>
    <phoneticPr fontId="1" type="noConversion"/>
  </si>
  <si>
    <t>TCFPA</t>
    <phoneticPr fontId="1" type="noConversion"/>
  </si>
  <si>
    <t>Coptic Evangelical Organization for Social Services</t>
    <phoneticPr fontId="1" type="noConversion"/>
  </si>
  <si>
    <t>CEOSS</t>
    <phoneticPr fontId="1" type="noConversion"/>
  </si>
  <si>
    <t>ceoss@ceoss.org.eg</t>
  </si>
  <si>
    <t>https://ceoss.org.eg</t>
  </si>
  <si>
    <t>Ms Lee Pui Ki, Likie</t>
  </si>
  <si>
    <t>Chief Executive Officer</t>
  </si>
  <si>
    <t>avs@avs.org.hk</t>
  </si>
  <si>
    <t>https://www.avs.org.hk</t>
  </si>
  <si>
    <t>+852 2527 3825</t>
  </si>
  <si>
    <t>N/A</t>
  </si>
  <si>
    <t>admin@badi-foundation.org</t>
  </si>
  <si>
    <t>https://www.badi-foundation.org</t>
  </si>
  <si>
    <t>+853 2884 1257 / +86 10 5203 4619</t>
  </si>
  <si>
    <t>Pun Chi Meng</t>
  </si>
  <si>
    <t>Director General</t>
  </si>
  <si>
    <t>caritas@macau.ctm.net</t>
  </si>
  <si>
    <t>https://www.caritas.org.mo</t>
  </si>
  <si>
    <t>+853 2857 3297</t>
  </si>
  <si>
    <t>Chung To</t>
  </si>
  <si>
    <t>Founder &amp; Chairman</t>
  </si>
  <si>
    <t>info@chihengfoundation.com</t>
  </si>
  <si>
    <t>https://www.chihengfoundation.com</t>
  </si>
  <si>
    <t>+852 2517 0564</t>
  </si>
  <si>
    <t>Chandran Nair</t>
  </si>
  <si>
    <t>Founder &amp; CEO</t>
  </si>
  <si>
    <t>giftoffice@global-inst.com</t>
  </si>
  <si>
    <t>https://global-inst.com</t>
  </si>
  <si>
    <t>+852 3571 8103</t>
  </si>
  <si>
    <t>info.eastasia@greenpeace.org</t>
  </si>
  <si>
    <t>https://www.greenpeace.org/eastasia/</t>
  </si>
  <si>
    <t>+852 2854 8300</t>
  </si>
  <si>
    <t>Amy Fung</t>
  </si>
  <si>
    <t>info@oxfam.org.hk</t>
  </si>
  <si>
    <t>https://www.oxfam.org.hk</t>
  </si>
  <si>
    <t>+852 2520 2525</t>
  </si>
  <si>
    <t>Sherman Tang</t>
  </si>
  <si>
    <t>Director</t>
  </si>
  <si>
    <t>info@pcd.org.hk</t>
  </si>
  <si>
    <t>https://www.pcd.org.hk</t>
  </si>
  <si>
    <t>+852 2458 0011</t>
  </si>
  <si>
    <t>wvinfo@worldvision.org.hk</t>
  </si>
  <si>
    <t>https://www.worldvision.org.hk</t>
  </si>
  <si>
    <t>+852 2394 2394</t>
  </si>
  <si>
    <t>Agency for Volunteer Service</t>
    <phoneticPr fontId="1" type="noConversion"/>
  </si>
  <si>
    <t>AVS</t>
    <phoneticPr fontId="1" type="noConversion"/>
  </si>
  <si>
    <t>Badi Foundation</t>
    <phoneticPr fontId="1" type="noConversion"/>
  </si>
  <si>
    <t>Caritas Macau</t>
    <phoneticPr fontId="1" type="noConversion"/>
  </si>
  <si>
    <t>CHF</t>
    <phoneticPr fontId="1" type="noConversion"/>
  </si>
  <si>
    <t>Global Institute For Tomorrow</t>
    <phoneticPr fontId="1" type="noConversion"/>
  </si>
  <si>
    <t>GIFT</t>
    <phoneticPr fontId="1" type="noConversion"/>
  </si>
  <si>
    <t>Greenpeace East Asia</t>
    <phoneticPr fontId="1" type="noConversion"/>
  </si>
  <si>
    <t>Oxfam Hong Kong</t>
    <phoneticPr fontId="1" type="noConversion"/>
  </si>
  <si>
    <t>OHK</t>
    <phoneticPr fontId="1" type="noConversion"/>
  </si>
  <si>
    <t>Partnerships for Community Development</t>
    <phoneticPr fontId="1" type="noConversion"/>
  </si>
  <si>
    <t>PCD</t>
    <phoneticPr fontId="1" type="noConversion"/>
  </si>
  <si>
    <t>World Vision Hong Kong</t>
    <phoneticPr fontId="1" type="noConversion"/>
  </si>
  <si>
    <t>WVHK</t>
    <phoneticPr fontId="1" type="noConversion"/>
  </si>
  <si>
    <t>否</t>
  </si>
  <si>
    <t>找不到相关信息</t>
  </si>
  <si>
    <t>非政府组织 / 社会组织 (Non-Governmental / Civil Society Organization)</t>
  </si>
  <si>
    <t>网络型机构 (Network Organization)</t>
  </si>
  <si>
    <t>政策倡导机构 (Policy Advocacy Organization)</t>
  </si>
  <si>
    <t>食品安全与可持续农业 (Food Security &amp; Sustainable Agriculture)</t>
  </si>
  <si>
    <t>社区发展与减贫 (Community Development &amp; Poverty Reduction)</t>
  </si>
  <si>
    <t>人权与社会正义 (Human Rights &amp; Social Justice)</t>
  </si>
  <si>
    <t>angoc@angoc.org</t>
  </si>
  <si>
    <t>https://angoc.org</t>
  </si>
  <si>
    <t>+63 2 8351 0011</t>
  </si>
  <si>
    <t>无合作 (No Cooperation)</t>
  </si>
  <si>
    <t>暂无公开资料显示 CANGO 与该机构在公开渠道存在直接合作或共同出现在报道中。</t>
  </si>
  <si>
    <t>Asian NGO Coalition for Agrarian Reform and Rural Development</t>
    <phoneticPr fontId="1" type="noConversion"/>
  </si>
  <si>
    <t>ANGOC</t>
    <phoneticPr fontId="1" type="noConversion"/>
  </si>
  <si>
    <t>亚洲土地改革和乡村发展民间组织联盟</t>
    <phoneticPr fontId="1" type="noConversion"/>
  </si>
  <si>
    <t>菲律宾 (Philippines)</t>
    <phoneticPr fontId="1" type="noConversion"/>
  </si>
  <si>
    <t>无</t>
    <phoneticPr fontId="1" type="noConversion"/>
  </si>
  <si>
    <t>Asia-Pacific Association of Agricultural Research Institutions</t>
  </si>
  <si>
    <t>APAARI</t>
  </si>
  <si>
    <t>亚太农业研究机构协会</t>
  </si>
  <si>
    <t>否（为区域网络组织，无海外注册代表处信息）</t>
  </si>
  <si>
    <t>环境与气候变化 (Environment &amp; Climate Change)</t>
  </si>
  <si>
    <t>可持续发展目标推进 (SDG Integration)</t>
  </si>
  <si>
    <t>info@apaari.org</t>
  </si>
  <si>
    <t>https://www.apaari.org</t>
  </si>
  <si>
    <t>+66 2 579 7435</t>
  </si>
  <si>
    <t>暂无在华注册代表处。未发现其在中国大陆注册代表处信息；其成员网络中可能包含中国农业科研机构，但无独立在华法人实体。</t>
  </si>
  <si>
    <t>Asia Pacific Philanthropy Consortium</t>
  </si>
  <si>
    <t>APPC</t>
  </si>
  <si>
    <t>亚太公益联盟</t>
  </si>
  <si>
    <t>首尔（Seoul）</t>
  </si>
  <si>
    <t>教育与能力建设 (Education &amp; Capacity Building)</t>
  </si>
  <si>
    <t>https://www.appc.or.kr</t>
  </si>
  <si>
    <t>以区域公益合作平台著称，长期举办亚太公益论坛并发布区域慈善研究成果。</t>
  </si>
  <si>
    <t>暂无在华注册代表处。未发现其在中国大陆注册代表处信息；部分活动曾涉及中国公益机构参与。</t>
  </si>
  <si>
    <t>正常运营（官网及会议记录显示近年仍有活动信息）。</t>
  </si>
  <si>
    <t>Asia-Pacific Research Network</t>
  </si>
  <si>
    <t>APRN</t>
  </si>
  <si>
    <t>亚太研究网络</t>
  </si>
  <si>
    <t>否（区域网络组织，无海外注册代表处信息）</t>
  </si>
  <si>
    <t>https://www.aprnet.org</t>
  </si>
  <si>
    <t>暂无在华注册代表处。未发现其在中国大陆注册代表处信息；未检索到其设立中国办公室的公开记录。</t>
  </si>
  <si>
    <t>正常运营（官网可访问，近年仍发布报告与活动信息）。</t>
  </si>
  <si>
    <t>Cambodia YMCA</t>
  </si>
  <si>
    <t>YMCA Cambodia</t>
  </si>
  <si>
    <t>柬埔寨基督教青年会</t>
  </si>
  <si>
    <t>否（为本国注册组织，无海外办公室公开信息）</t>
  </si>
  <si>
    <t>柬埔寨基督教青年会是青年发展类社会组织，致力于青年赋权、职业技能培训、社区发展与社会包容，通过教育培训、志愿服务与社区项目促进弱势青年融入社会与就业机会提升。</t>
  </si>
  <si>
    <t>执行型机构 (Implementing Organization)</t>
  </si>
  <si>
    <t>性别平等与多样性 (Gender Equality &amp; Diversity)</t>
  </si>
  <si>
    <t>info@ymca-cambodia.org</t>
  </si>
  <si>
    <t>https://www.ymca-cambodia.org</t>
  </si>
  <si>
    <t>暂无在华注册代表处。未发现其在中国大陆注册代表处信息。</t>
  </si>
  <si>
    <t>Center for Environmental Concerns Philippines</t>
  </si>
  <si>
    <t>CEC Philippines</t>
  </si>
  <si>
    <t>菲律宾环境关注中心</t>
  </si>
  <si>
    <t>否（为菲律宾本国注册机构，无海外办公室公开信息）</t>
  </si>
  <si>
    <t>cecphils@gmail.com</t>
  </si>
  <si>
    <t>https://www.cecphils.org</t>
  </si>
  <si>
    <t>长期参与菲律宾国内气候正义与环境政策倡导行动，发布环境议题声明与研究简报。</t>
  </si>
  <si>
    <t>正常运营（官网及社交媒体近期仍发布活动与声明）。</t>
  </si>
  <si>
    <t>Clean Air Asia</t>
  </si>
  <si>
    <t>亚洲清洁空气中心</t>
  </si>
  <si>
    <t>否（区域性组织，无中国注册代表处公开信息）</t>
  </si>
  <si>
    <t>健康与公共卫生 (Health &amp; Public Health)</t>
  </si>
  <si>
    <t>info@cleanairasia.org</t>
  </si>
  <si>
    <t>https://cleanairasia.org</t>
  </si>
  <si>
    <t>专注亚洲城市空气质量治理，与政府和多边机构合作开展交通减排与空气监测能力建设项目。</t>
  </si>
  <si>
    <t>暂无在华注册代表处。未发现其在中国大陆注册代表处信息；其在亚洲多国开展技术合作项目，但无中国法人实体公开记录。</t>
  </si>
  <si>
    <t>正常运营（官网持续更新并发布区域项目报告）。</t>
  </si>
  <si>
    <t>Cooperation Committee for Cambodia</t>
  </si>
  <si>
    <t>CCC</t>
  </si>
  <si>
    <t>柬埔寨合作委员会</t>
  </si>
  <si>
    <t>否（国家级平台组织，无海外注册代表处信息）</t>
  </si>
  <si>
    <t>能力建设机构 (Capacity Building Organization)</t>
  </si>
  <si>
    <t>公民社会参与与全球治理 (Civil Society Participation &amp; Governance)</t>
  </si>
  <si>
    <t>info@ccc-cambodia.org</t>
  </si>
  <si>
    <t>https://www.ccc-cambodia.org</t>
  </si>
  <si>
    <t>正常运营（官网持续更新年度报告与培训活动信息）。</t>
  </si>
  <si>
    <t>LMD Foundation</t>
  </si>
  <si>
    <t>澜湄发展基金会</t>
  </si>
  <si>
    <t>否（未发现海外注册代表处公开信息）</t>
  </si>
  <si>
    <t>区域合作平台 (Regional Cooperation Platform)</t>
  </si>
  <si>
    <t>政策对话机构 (Policy Dialogue Organization)</t>
  </si>
  <si>
    <t>国际交流与合作 (International Exchange &amp; Cooperation)</t>
  </si>
  <si>
    <t>作为澜湄合作民间层面的交流平台，参与区域会议与政策讨论。</t>
  </si>
  <si>
    <t>可在澜湄区域民间合作、青年交流与区域发展议题上探索合作。</t>
  </si>
  <si>
    <t>Nanyang Technological University</t>
  </si>
  <si>
    <t>南洋理工大学</t>
  </si>
  <si>
    <t>是（在中国、英国等地设有研究中心或合作办公室，但无独立法人分支机构公开信息）</t>
  </si>
  <si>
    <t>学术与科研机构 (Academic / Research Institution)</t>
  </si>
  <si>
    <t>研究机构 (Research Institution)</t>
  </si>
  <si>
    <t>高等教育机构 (Higher Education Institution)</t>
  </si>
  <si>
    <t>数字技术与治理创新 (Digital Technology &amp; Governance Innovation)</t>
  </si>
  <si>
    <t>info@ntu.edu.sg</t>
  </si>
  <si>
    <t>https://www.ntu.edu.sg</t>
  </si>
  <si>
    <t>+65 6791 1744</t>
  </si>
  <si>
    <t>暂无在华注册代表处。与多所中国高校有联合研究项目及合作中心（如联合实验室），但无独立在华法人实体公开信息。</t>
  </si>
  <si>
    <t>NCA</t>
  </si>
  <si>
    <t>尼中学院</t>
  </si>
  <si>
    <t>国际交流机构 (International Exchange Organization)</t>
  </si>
  <si>
    <t>主要组织尼中论坛与文化交流活动，参与双边政策讨论与青年互访项目。</t>
  </si>
  <si>
    <t>可在中尼民间对话、青年交流与区域发展合作议题上探索合作。</t>
  </si>
  <si>
    <t>Open Forum for CSO Development Effectiveness</t>
  </si>
  <si>
    <t>Open Forum</t>
  </si>
  <si>
    <t>公民社会组织发展有效性开放论坛</t>
  </si>
  <si>
    <t>否（为全球倡导平台项目机制，无独立国家分支注册信息）</t>
  </si>
  <si>
    <t>全球 (Global)</t>
  </si>
  <si>
    <t>发展合作与援助有效性 (Development Effectiveness)</t>
  </si>
  <si>
    <t>https://www.cso-effectiveness.org</t>
  </si>
  <si>
    <t>部分活跃（原全球倡导阶段已结束，目前更多作为原则框架被引用，组织活跃度较低）。</t>
  </si>
  <si>
    <t>PDRC</t>
  </si>
  <si>
    <t>菲中发展资源中心</t>
  </si>
  <si>
    <t>主要举办菲中发展论坛与双边对话活动，公开资料较少。</t>
  </si>
  <si>
    <t>可在中菲民间对话、区域发展研究与经贸交流方面探索合作。</t>
  </si>
  <si>
    <t>SJ Vietnam</t>
  </si>
  <si>
    <t>越南社会正义组织</t>
  </si>
  <si>
    <t>公开资料较少，未检索到详细品牌项目或网络成员身份说明。</t>
  </si>
  <si>
    <t>如其为活跃机构，可在社区发展或社会治理议题方面探索交流。</t>
  </si>
  <si>
    <t>Social Justice Vietnametnam</t>
    <phoneticPr fontId="1" type="noConversion"/>
  </si>
  <si>
    <t>The Reality of Aid Network</t>
  </si>
  <si>
    <t>Reality of Aid (RoA)</t>
  </si>
  <si>
    <t>真实援助网络</t>
  </si>
  <si>
    <t>否（为全球网络组织，无海外注册代表处公开信息）</t>
  </si>
  <si>
    <t>admin@realityofaid.org</t>
  </si>
  <si>
    <t>https://realityofaid.org</t>
  </si>
  <si>
    <t>正常运营（官网持续更新，近年仍发布政策报告与声明）。</t>
  </si>
  <si>
    <t>EACN</t>
  </si>
  <si>
    <t>东亚气候网络</t>
  </si>
  <si>
    <t>否（未检索到海外注册代表处信息）</t>
  </si>
  <si>
    <t>公开资料极为有限，未检索到完整法人注册信息或官方网站，推测为区域性气候议题倡导网络或项目型合作机制。</t>
  </si>
  <si>
    <t>东亚 (East Asia)</t>
  </si>
  <si>
    <t>公开信息极少，未检索到稳定机构官网或法人登记资料。</t>
  </si>
  <si>
    <t>如其为区域网络机制，可在东亚气候对话层面探索交流。</t>
  </si>
  <si>
    <t>Foundation for Advanced Studies on International Development</t>
  </si>
  <si>
    <t>FASID</t>
  </si>
  <si>
    <t>国际开发高等研究基金会</t>
  </si>
  <si>
    <t>东京（Tokyo）</t>
  </si>
  <si>
    <t>基金会 / 慈善信托 (Foundation / Charitable Trust)</t>
  </si>
  <si>
    <t>研究与咨询机构 (Research &amp; Consulting Organization)</t>
  </si>
  <si>
    <t>info@fasid.or.jp</t>
  </si>
  <si>
    <t>https://www.fasid.or.jp</t>
  </si>
  <si>
    <t>+81-3-5226-0306</t>
  </si>
  <si>
    <t>长期承担日本国际合作政策研究与发展评估培训项目；为日本发展政策研究领域重要智库型机构。</t>
  </si>
  <si>
    <t>正常运营（官网持续更新研究与培训信息）。</t>
  </si>
  <si>
    <t>Food for the Hungry Japan</t>
  </si>
  <si>
    <t>FH Japan</t>
  </si>
  <si>
    <t>日本国际反饥饿组织</t>
  </si>
  <si>
    <t>宗教组织 (Faith-Based Organization)</t>
  </si>
  <si>
    <t>人道援助机构 (Humanitarian Organization)</t>
  </si>
  <si>
    <t>info@fhjapan.org</t>
  </si>
  <si>
    <t>https://www.fhjapan.org</t>
  </si>
  <si>
    <t>+81-3-5333-6620</t>
  </si>
  <si>
    <t>为全球FH体系成员组织之一，长期在亚洲和非洲开展儿童与社区发展项目。</t>
  </si>
  <si>
    <t>正常运营（官网持续更新项目与年度报告信息）。</t>
  </si>
  <si>
    <t>Hiroshima University</t>
  </si>
  <si>
    <t>广岛大学</t>
  </si>
  <si>
    <t>东广岛市（Higashihiroshima）</t>
  </si>
  <si>
    <t>是（设有海外合作办公室与联合研究中心，但无中国注册代表处公开信息）</t>
  </si>
  <si>
    <t>广岛大学是日本国立综合性研究型大学，在和平研究、核裁军、可持续发展、环境科学与国际合作研究方面具有国际影响力。设有和平科学研究中心等机构，长期参与国际学术合作与全球政策对话。</t>
  </si>
  <si>
    <t>info@hiroshima-u.ac.jp</t>
  </si>
  <si>
    <t>https://www.hiroshima-u.ac.jp</t>
  </si>
  <si>
    <t>+81-82-424-6170</t>
  </si>
  <si>
    <t>以和平研究与可持续发展研究见长，参与全球核裁军与和平治理学术网络。</t>
  </si>
  <si>
    <t>暂无在华注册代表处。与多所中国高校存在学术合作与联合研究项目，但未发现其在中国设立法人实体。</t>
  </si>
  <si>
    <t>正常运营（为日本国立大学，持续正常运作）。</t>
  </si>
  <si>
    <t>Institute for Sustainable Energy Policies</t>
  </si>
  <si>
    <t>ISEP</t>
  </si>
  <si>
    <t>可持续能源政策研究所</t>
  </si>
  <si>
    <t>info@isep.or.jp</t>
  </si>
  <si>
    <t>https://www.isep.or.jp</t>
  </si>
  <si>
    <t>+81-3-5942-8937</t>
  </si>
  <si>
    <t>为日本能源转型研究领域重要独立智库，长期发布《自然能源白皮书》并参与国际能源政策对话。</t>
  </si>
  <si>
    <t>正常运营（官网持续发布政策报告与年度研究成果）。</t>
  </si>
  <si>
    <t>JANUS</t>
  </si>
  <si>
    <t>日本废除核武研究联盟</t>
  </si>
  <si>
    <t>研究与倡导平台 (Research &amp; Advocacy Platform)</t>
  </si>
  <si>
    <t>公开信息极少，未检索到稳定官网或注册资料。</t>
  </si>
  <si>
    <t>如其为活跃研究网络，可在和平研究或区域安全议题方面探索交流。</t>
  </si>
  <si>
    <t>JACO</t>
  </si>
  <si>
    <t>日本公益法人协会</t>
  </si>
  <si>
    <t>行业协调机构 (Sector Coordination Organization)</t>
  </si>
  <si>
    <t>主要面向日本国内公益法人体系提供政策与制度层面支持。</t>
  </si>
  <si>
    <t>可在公益法人治理制度比较研究与行业标准建设方面探索交流。</t>
  </si>
  <si>
    <t>Japan Bank for International Cooperation</t>
  </si>
  <si>
    <t>JBIC</t>
  </si>
  <si>
    <t>日本国际协力银行</t>
  </si>
  <si>
    <t>是（在全球多国设有代表处；在北京设有代表处）</t>
  </si>
  <si>
    <t>政府背景机构 (Government-Affiliated Organization)</t>
  </si>
  <si>
    <t>政策性金融机构 (Policy Financial Institution)</t>
  </si>
  <si>
    <t>资助型机构 (Funding Organization)</t>
  </si>
  <si>
    <t>机构</t>
  </si>
  <si>
    <t>info@jbic.go.jp</t>
  </si>
  <si>
    <t>https://www.jbic.go.jp</t>
  </si>
  <si>
    <t>+81-3-5218-3100</t>
  </si>
  <si>
    <t>与日本政府相关部门合作；参与多边开发融资机制；与世界银行等多边机构有合作安排</t>
  </si>
  <si>
    <t>日本政府100%出资的政策性金融机构，在海外投资与基础设施融资领域具有重要影响。</t>
  </si>
  <si>
    <t>在北京设有代表处（JBIC Representative Office in Beijing），开展对华经济与金融合作相关工作。</t>
  </si>
  <si>
    <t>正常运营（为日本政府政策性银行，持续运行）。</t>
  </si>
  <si>
    <t>Japan Federation of Senior Citizens’ Clubs</t>
  </si>
  <si>
    <t>JFSC</t>
  </si>
  <si>
    <t>日本全国老年人俱乐部联合会</t>
  </si>
  <si>
    <t>日本全国老年人俱乐部联合会是日本老年人组织的全国性联合平台，致力于促进老年人社会参与、健康促进、社区互助与代际交流。通过政策倡导、社区活动与社会教育提升老年群体的福祉与社会影响力。</t>
  </si>
  <si>
    <t>社会服务组织 (Social Service Organization)</t>
  </si>
  <si>
    <t>https://www.zenrouren.com</t>
  </si>
  <si>
    <t>为日本全国老年人俱乐部联合组织，覆盖地方老年人社团网络</t>
  </si>
  <si>
    <t>主要面向日本国内老龄社会议题，开展健康促进与社区参与活动。</t>
  </si>
  <si>
    <t>正常运营（官网持续更新活动与组织信息）。</t>
  </si>
  <si>
    <t>Japan International Cooperation Agency</t>
  </si>
  <si>
    <t>JICA</t>
  </si>
  <si>
    <t>日本国际协力机构</t>
  </si>
  <si>
    <t>是</t>
  </si>
  <si>
    <t>是（在全球多国设有办事处；在中国设有事务所）</t>
  </si>
  <si>
    <t>webmaster@jica.go.jp</t>
  </si>
  <si>
    <t>https://www.jica.go.jp</t>
  </si>
  <si>
    <t>+81-3-5226-6660</t>
  </si>
  <si>
    <t>日本ODA核心执行机构，在全球拥有广泛项目布局和驻外办事处网络。</t>
  </si>
  <si>
    <t>在北京设有“JICA中国事务所（JICA China Office）”，负责对华技术合作及发展交流事务。</t>
  </si>
  <si>
    <t>正常运营（日本政府官方机构，持续运行）。</t>
  </si>
  <si>
    <t>JIVRI</t>
  </si>
  <si>
    <t>日本国际志愿服务研究所</t>
  </si>
  <si>
    <t>志愿服务促进机构 (Volunteerism Promotion Organization)</t>
  </si>
  <si>
    <t>公开资料有限，未检索到详细项目或成员网络说明。</t>
  </si>
  <si>
    <t>如为活跃机构，可在志愿服务体系建设与研究交流方面探索合作。</t>
  </si>
  <si>
    <t>Kansai NPO Alliance</t>
  </si>
  <si>
    <t>日本关西NPO联盟</t>
  </si>
  <si>
    <t>大阪（Osaka）</t>
  </si>
  <si>
    <t>否（区域联盟性质，未发现海外注册代表处信息）</t>
  </si>
  <si>
    <t>如为活跃联盟，可在区域NPO能力建设与网络协作方面探索交流。</t>
  </si>
  <si>
    <t>否（为日本国内注册机构，未设海外法人分支）</t>
  </si>
  <si>
    <t>Japan Platform</t>
  </si>
  <si>
    <t>JPF</t>
  </si>
  <si>
    <t>日本平台</t>
  </si>
  <si>
    <t>人道援助协调平台 (Humanitarian Coordination Platform)</t>
  </si>
  <si>
    <t>灾害风险与人道援助 (Humanitarian Aid &amp; Disaster Risk Reduction)</t>
  </si>
  <si>
    <t>info@japanplatform.org</t>
  </si>
  <si>
    <t>https://www.japanplatform.org</t>
  </si>
  <si>
    <t>+81-3-6261-4360</t>
  </si>
  <si>
    <t>为日本最主要的人道援助协调平台之一，整合政府、企业与民间资源开展紧急援助。</t>
  </si>
  <si>
    <t>正常运营（官网持续更新紧急响应与年度报告）。</t>
  </si>
  <si>
    <t>Keidanren Committee on Nature Conservation</t>
  </si>
  <si>
    <t>Keidanren CNC</t>
  </si>
  <si>
    <t>日本经团联自然保护基金</t>
  </si>
  <si>
    <t>否（未发现海外法人分支信息）</t>
  </si>
  <si>
    <t>企业或社会企业 (Corporation / Social Enterprise)</t>
  </si>
  <si>
    <t>企业公益平台 (Corporate Philanthropy Platform)</t>
  </si>
  <si>
    <t>https://www.keidanren.or.jp/kncf/</t>
  </si>
  <si>
    <t>以企业捐赠资金为来源，支持国内外生态保护项目。</t>
  </si>
  <si>
    <t>正常运营（作为Keidanren下属基金持续运行）。</t>
  </si>
  <si>
    <t>Korea International Cooperation Agency</t>
  </si>
  <si>
    <t>KOICA</t>
  </si>
  <si>
    <t>韩国国际协力机构</t>
  </si>
  <si>
    <t>城南市（Seongnam）</t>
  </si>
  <si>
    <t>是（在全球多国设有办事处；在北京设有事务所）</t>
  </si>
  <si>
    <t>webmaster@koica.go.kr</t>
  </si>
  <si>
    <t>https://www.koica.go.kr</t>
  </si>
  <si>
    <t>+82-31-740-0114</t>
  </si>
  <si>
    <t>韩国ODA核心执行机构，在亚非拉多国开展发展合作项目。</t>
  </si>
  <si>
    <t>在北京设有“KOICA中国事务所（KOICA China Office）”，负责对华合作与项目协调。</t>
  </si>
  <si>
    <t>正常运营（韩国政府官方机构，持续运行）。</t>
  </si>
  <si>
    <t>Konkuk University</t>
  </si>
  <si>
    <t>建国大学</t>
  </si>
  <si>
    <t>是（设有海外合作项目与联合研究中心，但无中国注册代表处公开信息）</t>
  </si>
  <si>
    <t>建国大学是韩国私立综合性大学，在生命科学、环境科学、农业研究、公共政策与社会发展等领域具有较强学术实力。积极参与国际学术合作与区域研究交流。</t>
  </si>
  <si>
    <t>webmaster@konkuk.ac.kr</t>
  </si>
  <si>
    <t>https://www.konkuk.ac.kr</t>
  </si>
  <si>
    <t>+82-2-450-3114</t>
  </si>
  <si>
    <t>参与亚洲大学联盟合作项目；与多国高校开展学术合作</t>
  </si>
  <si>
    <t>韩国知名私立大学，在农业与生命科学领域具有优势。</t>
  </si>
  <si>
    <t>暂无在华注册代表处。与中国高校存在校际合作与联合研究项目，但未发现其在中国设立法人实体。</t>
  </si>
  <si>
    <t>正常运营（韩国高校，持续运行）。</t>
  </si>
  <si>
    <t>KVF</t>
  </si>
  <si>
    <t>韩国志愿服务论坛</t>
  </si>
  <si>
    <t>http://www.kfv.or.kr</t>
  </si>
  <si>
    <t>韩国志愿服务领域国家级网络平台</t>
  </si>
  <si>
    <t>组织年度志愿服务大会，推动志愿服务政策与实践研究。</t>
  </si>
  <si>
    <t>正常运营（官网持续更新活动信息）。</t>
  </si>
  <si>
    <t>Korean Civil Society Forum on International Development Cooperation</t>
  </si>
  <si>
    <t>KoFID</t>
  </si>
  <si>
    <t>韩国国际发展合作公民社会论坛</t>
  </si>
  <si>
    <t>否（为国家级网络平台，未设海外法人分支）</t>
  </si>
  <si>
    <t>kofid@kofid.org</t>
  </si>
  <si>
    <t>https://www.kofid.org</t>
  </si>
  <si>
    <t>+82-2-722-9050</t>
  </si>
  <si>
    <t>韩国ODA领域最具代表性的CSO平台之一，定期发布韩国ODA监督报告。</t>
  </si>
  <si>
    <t>正常运营（官网持续更新政策声明与报告）。</t>
  </si>
  <si>
    <t>Korean NGO Council for Overseas Development Cooperation</t>
  </si>
  <si>
    <t>KCOC</t>
  </si>
  <si>
    <t>韩国民间组织海外发展合作委员会</t>
  </si>
  <si>
    <t>否（为韩国国内注册网络组织，未设海外法人分支）</t>
  </si>
  <si>
    <t>kcoc@kcoc.or.kr</t>
  </si>
  <si>
    <t>https://www.kcoc.or.kr</t>
  </si>
  <si>
    <t>+82-2-739-5800</t>
  </si>
  <si>
    <t>KCOC 是韩国海外发展合作领域最核心的NGO联合平台之一，拥有百余家成员机构。</t>
  </si>
  <si>
    <t>正常运营（官网持续更新成员与政策活动信息）。</t>
  </si>
  <si>
    <t>Korean Sharing Movement</t>
  </si>
  <si>
    <t>KSM</t>
  </si>
  <si>
    <t>韩国分享运动</t>
  </si>
  <si>
    <t>info@sharingmovement.org</t>
  </si>
  <si>
    <t>https://www.sharingmovement.org</t>
  </si>
  <si>
    <t>+82-2-734-9001</t>
  </si>
  <si>
    <t>与韩国宗教界网络合作；参与对朝人道援助机制</t>
  </si>
  <si>
    <t>以对朝鲜人道援助和医疗支持项目著称，同时参与和平倡导。</t>
  </si>
  <si>
    <t>正常运营（官网持续发布项目与活动信息）。</t>
  </si>
  <si>
    <t>京都嵯峨艺术大学</t>
  </si>
  <si>
    <t>京都（Kyoto）</t>
  </si>
  <si>
    <t>京都嵯峨艺术大学为日本私立艺术类高等院校，专注于美术、设计、媒体艺术与文化创意教育。主要开展艺术创作教育与文化研究，参与区域文化交流活动。</t>
  </si>
  <si>
    <t>文化教育机构 (Arts &amp; Cultural Education Institution)</t>
  </si>
  <si>
    <t>https://www.kyoto-saga.ac.jp</t>
  </si>
  <si>
    <t>日本私立艺术院校，设有多媒体艺术与文化研究专业</t>
  </si>
  <si>
    <t>如涉及文化交流或青年艺术合作，可探索交流机会。</t>
  </si>
  <si>
    <t>Niwano Peace Foundation</t>
  </si>
  <si>
    <t>庭野和平基金会</t>
  </si>
  <si>
    <t>和平与对话倡导机构 (Peace &amp; Interfaith Dialogue Organization)</t>
  </si>
  <si>
    <t>info@niwanopeace.or.jp</t>
  </si>
  <si>
    <t>https://www.niwanopeace.or.jp</t>
  </si>
  <si>
    <t>+81-3-3226-4371</t>
  </si>
  <si>
    <t>与联合国相关宗教对话机制合作；参与全球宗教和平网络</t>
  </si>
  <si>
    <t>以“庭野和平奖”闻名，长期支持宗教间合作与和平倡议项目。</t>
  </si>
  <si>
    <t>正常运营（官网持续发布年度和平奖与活动信息）。</t>
  </si>
  <si>
    <t>Northeast Asia Regional Peacebuilding Institute</t>
  </si>
  <si>
    <t>NARPI</t>
  </si>
  <si>
    <t>东北亚区域和平建设学院</t>
  </si>
  <si>
    <t>广岛（Hiroshima）</t>
  </si>
  <si>
    <t>否（为区域合作项目机制，无海外法人分支信息）</t>
  </si>
  <si>
    <t>contact@narpi.net</t>
  </si>
  <si>
    <t>https://www.narpi.net</t>
  </si>
  <si>
    <t>与东亚和平研究机构及高校合作网络</t>
  </si>
  <si>
    <t>以“夏季和平建设学院”项目为核心活动，面向东北亚青年与实践者开展培训。</t>
  </si>
  <si>
    <t>正常运营（官网持续发布年度培训项目信息）。</t>
  </si>
  <si>
    <t>Peace Boat</t>
  </si>
  <si>
    <t>和平船</t>
  </si>
  <si>
    <t>否（为日本注册机构，未设海外法人分支）</t>
  </si>
  <si>
    <t>国际交流平台 (International Exchange Platform)</t>
  </si>
  <si>
    <t>info@peaceboat.gr.jp</t>
  </si>
  <si>
    <t>https://peaceboat.org</t>
  </si>
  <si>
    <t>+81-3-3363-8047</t>
  </si>
  <si>
    <t>以环球航行和平教育项目著称，在气候与核裁军倡导领域具有国际影响力。</t>
  </si>
  <si>
    <t>正常运营（官网持续发布航行与倡导活动信息）。</t>
  </si>
  <si>
    <t>Sungkonghoe University</t>
  </si>
  <si>
    <t>韩国圣公会大学</t>
  </si>
  <si>
    <t>韩国圣公会大学是一所具有宗教背景的私立大学，以社会科学、神学、社会福利与公民社会研究见长。长期关注人权、社会正义、和平与发展议题，并积极参与区域学术与民间对话。</t>
  </si>
  <si>
    <t>webmaster@skhu.ac.kr</t>
  </si>
  <si>
    <t>https://www.skhu.ac.kr</t>
  </si>
  <si>
    <t>+82-2-2610-4114</t>
  </si>
  <si>
    <t>与韩国公民社会网络合作；参与区域和平与社会正义研究网络</t>
  </si>
  <si>
    <t>以社会运动研究与发展研究见长，在韩国公民社会领域具有一定影响力。</t>
  </si>
  <si>
    <t>正常运营（韩国在册大学，持续运行）。</t>
  </si>
  <si>
    <t>The Buddhist NGO Network</t>
  </si>
  <si>
    <t>BNN</t>
  </si>
  <si>
    <t>日本佛教NGO网络</t>
  </si>
  <si>
    <t>否（为日本国内注册网络组织，未设海外法人分支）</t>
  </si>
  <si>
    <t>info@bnn.or.jp</t>
  </si>
  <si>
    <t>http://www.bnn.or.jp</t>
  </si>
  <si>
    <t>与日本宗教界网络合作；参与国际发展与宗教对话机制</t>
  </si>
  <si>
    <t>日本宗教NGO协调平台之一，促进宗教组织参与国际发展与人道事务。</t>
  </si>
  <si>
    <t>正常运营（官网仍可访问，持续发布信息）。</t>
  </si>
  <si>
    <t>The Japan Foundation</t>
  </si>
  <si>
    <t>JF</t>
  </si>
  <si>
    <t>日本国际交流基金会</t>
  </si>
  <si>
    <t>是（在全球多国设有海外事务所；在北京设有办事处）</t>
  </si>
  <si>
    <t>webmaster@jpf.go.jp</t>
  </si>
  <si>
    <t>https://www.jpf.go.jp</t>
  </si>
  <si>
    <t>+81-3-5369-6075</t>
  </si>
  <si>
    <t>与日本外务省合作；在全球设立日本文化中心网络</t>
  </si>
  <si>
    <t>日本最主要的文化外交机构之一，负责日语推广与国际文化交流项目。</t>
  </si>
  <si>
    <t>在北京设有“日本国际交流基金会北京日本文化中心”，开展文化与教育交流项目。</t>
  </si>
  <si>
    <t>正常运营（日本政府设立机构，持续运行）。</t>
  </si>
  <si>
    <t>The SASAKAWA Japan-China Friendship Fund</t>
  </si>
  <si>
    <t>SJCFF</t>
  </si>
  <si>
    <t>笹川日中友好基金</t>
  </si>
  <si>
    <t>否（未发现独立海外法人分支；为基金项目机制）</t>
  </si>
  <si>
    <t>https://www.spf.org/jcfc/</t>
  </si>
  <si>
    <t>专项支持日中学术与民间交流项目，为双边关系中的民间合作资助渠道之一。</t>
  </si>
  <si>
    <t>暂无在华注册代表处。基金资助项目可能在中国开展，但未设独立在华法人实体。</t>
  </si>
  <si>
    <t>暂无公开资料显示 CANGO 与该基金在公开渠道存在直接合作或共同出现在报道中。</t>
  </si>
  <si>
    <t>正常运营（作为笹川和平财团专项基金持续运行）。</t>
  </si>
  <si>
    <t>The Sasakawa Peace Foundation</t>
  </si>
  <si>
    <t>SPF</t>
  </si>
  <si>
    <t>日本笹川和平财团</t>
  </si>
  <si>
    <t>是（在美国设有子机构；未发现中国注册代表处）</t>
  </si>
  <si>
    <t>研究与政策平台 (Research &amp; Policy Platform)</t>
  </si>
  <si>
    <t>info@spf.or.jp</t>
  </si>
  <si>
    <t>https://www.spf.org</t>
  </si>
  <si>
    <t>+81-3-5157-5430</t>
  </si>
  <si>
    <t>为日本具有重要国际影响力的政策型基金会，活跃于亚太安全与海洋政策领域。</t>
  </si>
  <si>
    <t>暂无在华注册代表处。未发现其在中国大陆注册代表处信息；曾资助或参与涉及中国的研究与对话项目。</t>
  </si>
  <si>
    <t>正常运营（官网持续发布研究与会议活动信息）。</t>
  </si>
  <si>
    <t>Angara Women’s Union of the Baikal Region</t>
  </si>
  <si>
    <t>Angara</t>
  </si>
  <si>
    <t>俄罗斯贝加尔地区妇女联盟</t>
  </si>
  <si>
    <t>公开资料有限，疑似为区域性妇女组织，具体法律注册状态、成立时间及总部信息未查到明确来源。</t>
  </si>
  <si>
    <t>不明</t>
  </si>
  <si>
    <t>暂无在华注册代表处。未发现其在中国开展正式注册或长期项目的公开信息。</t>
  </si>
  <si>
    <t>存续状态不明（未检索到官方注册或持续运营信息）。</t>
  </si>
  <si>
    <t>Areopagos Foundation</t>
  </si>
  <si>
    <t>Areopagos</t>
  </si>
  <si>
    <t>挪威阿瑞欧帕戈斯基金会</t>
  </si>
  <si>
    <t>奥斯陆（Oslo）</t>
  </si>
  <si>
    <t>是（在丹麦、瑞典、芬兰、荷兰及香港设有分支）</t>
  </si>
  <si>
    <t>国际网络合作 (International Ecumenical Cooperation)</t>
  </si>
  <si>
    <t>和平与冲突转型 (Peacebuilding &amp; Conflict Transformation)</t>
  </si>
  <si>
    <t>post@areopagos.org</t>
  </si>
  <si>
    <t>https://areopagos.org</t>
  </si>
  <si>
    <t>+47-23-08-13-00</t>
  </si>
  <si>
    <t>北欧历史悠久的跨宗教对话组织，长期关注亚洲地区（包括中国）的信仰与社会议题。</t>
  </si>
  <si>
    <t>暂无在华注册代表处。在香港设有项目存在历史活动记录；未发现其在中国大陆注册信息。</t>
  </si>
  <si>
    <t>正常运营（官网持续更新项目与年度报告）。</t>
  </si>
  <si>
    <t>ATD Fourth World</t>
  </si>
  <si>
    <t>ATD</t>
  </si>
  <si>
    <t>第四世界运动</t>
  </si>
  <si>
    <t>皮耶尔莱（Pierrelaye）</t>
  </si>
  <si>
    <t>是（在比利时等30多个国家设有分支）</t>
  </si>
  <si>
    <t>混合型机构 (Hybrid Organization)</t>
  </si>
  <si>
    <t>国际倡导网络 (International Advocacy Network)</t>
  </si>
  <si>
    <t>info@atd-fourthworld.org</t>
  </si>
  <si>
    <t>https://www.atd-fourthworld.org</t>
  </si>
  <si>
    <t>+33-1-34-30-46-00</t>
  </si>
  <si>
    <t>国际反贫困倡导网络，在联合国体系长期活跃。</t>
  </si>
  <si>
    <t>暂无在华注册代表处。未发现其在中国大陆设立注册机构信息。</t>
  </si>
  <si>
    <t>正常运营（持续发布年度报告与全球项目更新）。</t>
  </si>
  <si>
    <t>Australian Agency for International Development</t>
  </si>
  <si>
    <t>AusAID</t>
  </si>
  <si>
    <t>澳大利亚国际发展署</t>
  </si>
  <si>
    <t>堪培拉（Canberra）</t>
  </si>
  <si>
    <t>否（已并入外交与贸易部）</t>
  </si>
  <si>
    <t>政府机构 (Government Organization)</t>
  </si>
  <si>
    <t>人道援助与灾害风险 (Humanitarian Aid &amp; Disaster Risk Reduction)</t>
  </si>
  <si>
    <t>2013年机构改革后不再独立存在，现为DFAT内部援助部门。</t>
  </si>
  <si>
    <t>暂无在华注册代表处。其援助项目通过政府渠道实施。</t>
  </si>
  <si>
    <t>已并入DFAT（不再独立存续）。</t>
  </si>
  <si>
    <t>BalkanKids Foundation</t>
  </si>
  <si>
    <t>BKF</t>
  </si>
  <si>
    <t>未检索到权威官网或注册信息，疑似为小型或已不活跃的区域性基金会。缺乏明确法律注册、总部地址及持续运营记录。</t>
  </si>
  <si>
    <t>儿童与青年发展 (Youth Development)</t>
  </si>
  <si>
    <t>暂无在华注册代表处。未发现其在中国开展业务或注册信息。</t>
  </si>
  <si>
    <t>存续状态不明（未找到持续运营或官方登记信息）。</t>
  </si>
  <si>
    <t>Bread for All</t>
  </si>
  <si>
    <t>伯尔尼（Bern）</t>
  </si>
  <si>
    <t>否（未发现海外法人分支）</t>
  </si>
  <si>
    <t>info@bfa-ppp.ch</t>
  </si>
  <si>
    <t>瑞士教会网络成员；参与瑞士发展政策倡导联盟</t>
  </si>
  <si>
    <t>2022年品牌与组织结构整合，不再以独立法人持续运作。</t>
  </si>
  <si>
    <t>暂无在华注册代表处。未发现其在中国大陆注册信息。</t>
  </si>
  <si>
    <t>已并入新组织结构（不再独立运营）。</t>
  </si>
  <si>
    <t>Climate Action Network Europe</t>
  </si>
  <si>
    <t>CAN Europe</t>
  </si>
  <si>
    <t>欧洲气候行动网络</t>
  </si>
  <si>
    <t>布鲁塞尔（Brussels）</t>
  </si>
  <si>
    <t>否（为欧洲区域网络，无中国注册代表处）</t>
  </si>
  <si>
    <t>info@caneurope.org</t>
  </si>
  <si>
    <t>https://caneurope.org</t>
  </si>
  <si>
    <t>+32-2-894-46-00</t>
  </si>
  <si>
    <t>欧洲层面最具影响力的气候倡导网络之一，常参与欧盟立法游说。</t>
  </si>
  <si>
    <t>正常运营（官网持续发布政策声明与研究报告）。</t>
  </si>
  <si>
    <t>CARE International</t>
  </si>
  <si>
    <t>CARE</t>
  </si>
  <si>
    <t>国际关怀组织</t>
  </si>
  <si>
    <t>日内瓦（Geneva）</t>
  </si>
  <si>
    <t>是（在全球100多个国家设有成员组织与办事处；在中国设有代表处）</t>
  </si>
  <si>
    <t>info@careinternational.org</t>
  </si>
  <si>
    <t>https://www.care-international.org</t>
  </si>
  <si>
    <t>+41-22-795-10-20</t>
  </si>
  <si>
    <t>全球知名人道与发展组织之一，强调女性赋权与气候适应项目。</t>
  </si>
  <si>
    <t>在北京设有CARE China代表处（依法注册的代表机构）。</t>
  </si>
  <si>
    <t>暂无公开资料显示 CANGO 与CARE International在公开渠道存在直接合作或共同出现在报道中。</t>
  </si>
  <si>
    <t>正常运营（全球持续开展项目并发布年度报告）。</t>
  </si>
  <si>
    <t>Caritas Australia</t>
  </si>
  <si>
    <t>澳大利亚明爱组织</t>
  </si>
  <si>
    <t>悉尼（Sydney）</t>
  </si>
  <si>
    <t>contact@caritas.org.au</t>
  </si>
  <si>
    <t>https://www.caritas.org.au</t>
  </si>
  <si>
    <t>+61-2-9956-8821</t>
  </si>
  <si>
    <t>澳大利亚天主教官方发展机构，长期参与亚太地区发展合作。</t>
  </si>
  <si>
    <t>正常运营（持续发布年度报告与项目更新）。</t>
  </si>
  <si>
    <t>Caritas Denmark</t>
  </si>
  <si>
    <t>丹麦明爱组织</t>
  </si>
  <si>
    <t>哥本哈根（Copenhagen）</t>
  </si>
  <si>
    <t>caritas@caritas.dk</t>
  </si>
  <si>
    <t>https://www.caritas.dk</t>
  </si>
  <si>
    <t>+45-39-27-88-77</t>
  </si>
  <si>
    <t>丹麦天主教官方发展机构，长期参与国际人道与发展合作。</t>
  </si>
  <si>
    <t>Center for Environment</t>
  </si>
  <si>
    <t>CZZS</t>
  </si>
  <si>
    <t>波黑环境中心</t>
  </si>
  <si>
    <t>巴尼亚卢卡（Banja Luka）</t>
  </si>
  <si>
    <t>info@czzs.org</t>
  </si>
  <si>
    <t>https://czzs.org</t>
  </si>
  <si>
    <t>+387-51-433-750</t>
  </si>
  <si>
    <t>波黑重要环保NGO之一，参与欧盟候选国环境政策对话。</t>
  </si>
  <si>
    <t>CESIE</t>
  </si>
  <si>
    <t>意大利欧洲政策与倡议中心</t>
  </si>
  <si>
    <t>巴勒莫（Palermo）</t>
  </si>
  <si>
    <t>是（在欧洲多国设有项目办公室，但未发现中国注册代表处）</t>
  </si>
  <si>
    <t>地中海区域 (Mediterranean Region)</t>
  </si>
  <si>
    <t>info@cesie.org</t>
  </si>
  <si>
    <t>https://cesie.org</t>
  </si>
  <si>
    <t>+39-091-616-4224</t>
  </si>
  <si>
    <t>活跃于欧盟资助项目领域，专长青年与社会融合项目。</t>
  </si>
  <si>
    <t>正常运营（官网持续更新欧盟合作项目）。</t>
  </si>
  <si>
    <t>Fundación CODESPA</t>
  </si>
  <si>
    <t>CODESPA</t>
  </si>
  <si>
    <t>西班牙CODESPA基金会</t>
  </si>
  <si>
    <t>马德里（Madrid）</t>
  </si>
  <si>
    <t>是（在拉美、非洲与亚洲多国设有项目办公室；未发现中国注册代表处）</t>
  </si>
  <si>
    <t>拉丁美洲 (Latin America)</t>
  </si>
  <si>
    <t>企业合作平台 (Private Sector Partnership Organization)</t>
  </si>
  <si>
    <t>info@codespa.org</t>
  </si>
  <si>
    <t>https://www.codespa.org</t>
  </si>
  <si>
    <t>+34-91-744-42-40</t>
  </si>
  <si>
    <t>以“市场驱动减贫”模式著称，与企业合作开展就业与金融包容项目。</t>
  </si>
  <si>
    <t>正常运营（官网持续更新国际项目）。</t>
  </si>
  <si>
    <t>CONCORD Europe</t>
  </si>
  <si>
    <t>CONCORD</t>
  </si>
  <si>
    <t>欧洲发展NGO联合会</t>
  </si>
  <si>
    <t>否（为欧洲级网络平台，无中国注册代表处）</t>
  </si>
  <si>
    <t>info@concordeurope.org</t>
  </si>
  <si>
    <t>https://concordeurope.org</t>
  </si>
  <si>
    <t>+32-2-743-87-60</t>
  </si>
  <si>
    <t>欧洲最主要的发展NGO协调平台之一，发布《AidWatch》报告。</t>
  </si>
  <si>
    <t>正常运营（官网持续更新政策分析与报告）。</t>
  </si>
  <si>
    <t>Danish Institute for Human Rights</t>
  </si>
  <si>
    <t>DIHR</t>
  </si>
  <si>
    <t>丹麦人权研究所</t>
  </si>
  <si>
    <t>是（在多个国家设有项目办公室；未发现中国注册代表处）</t>
  </si>
  <si>
    <t>info@humanrights.dk</t>
  </si>
  <si>
    <t>https://www.humanrights.dk</t>
  </si>
  <si>
    <t>+45-32-69-88-88</t>
  </si>
  <si>
    <t>丹麦国家人权机构，在企业与人权（UNGPs）领域具有较强国际影响力。</t>
  </si>
  <si>
    <t>正常运营（官网持续更新研究与国际项目）。</t>
  </si>
  <si>
    <t>European Commission</t>
  </si>
  <si>
    <t>欧洲委员会</t>
  </si>
  <si>
    <t>是（在全球设有欧盟代表团；在北京设有欧盟驻华代表团）</t>
  </si>
  <si>
    <t>政府间国际组织 / 多边机构 (Intergovernmental / Multilateral Organization)</t>
  </si>
  <si>
    <t>政策制定机构 (Policy-Making Institution)</t>
  </si>
  <si>
    <t>https://commission.europa.eu</t>
  </si>
  <si>
    <t>在北京设有“欧盟驻华代表团（EU Delegation to China）”。</t>
  </si>
  <si>
    <t>可在欧盟发展合作项目与政策对话方面探索合作。</t>
  </si>
  <si>
    <t>Fern</t>
  </si>
  <si>
    <t>费恩森林政策倡导组织</t>
  </si>
  <si>
    <t>伊克塞尔（Ixelles）</t>
  </si>
  <si>
    <t>info@fern.org</t>
  </si>
  <si>
    <t>https://www.fern.org</t>
  </si>
  <si>
    <t>参与欧盟森林与气候政策倡导网络；与环保组织联盟合作</t>
  </si>
  <si>
    <t>专注欧盟森林与贸易政策倡导，在反毁林法规方面具有影响力。</t>
  </si>
  <si>
    <t>正常运营（官网持续更新政策分析与倡导动态）。</t>
  </si>
  <si>
    <t>Formaper</t>
  </si>
  <si>
    <t>意大利米兰商会培训机构</t>
  </si>
  <si>
    <t>米兰（Milan）</t>
  </si>
  <si>
    <t>教育与能力建设机构 (Training Institution)</t>
  </si>
  <si>
    <t>企业社会责任与可持续商业 (Corporate Sustainability &amp; CSR)</t>
  </si>
  <si>
    <t>https://www.formaper.it</t>
  </si>
  <si>
    <t>隶属于米兰商会体系，主要提供企业培训与国际化服务。</t>
  </si>
  <si>
    <t>可在企业能力建设与中欧经贸交流领域探索合作。</t>
  </si>
  <si>
    <t>ING Insurance–CPAFFC Fund</t>
  </si>
  <si>
    <t>荷兰保险–中国人民对外友好协会基金</t>
  </si>
  <si>
    <t>企业合作平台 (Corporate Partnership Platform)</t>
  </si>
  <si>
    <t>未检索到其加入国际网络的公开信息</t>
  </si>
  <si>
    <t>可能为企业社会责任合作基金，缺乏公开独立运营信息</t>
  </si>
  <si>
    <t>暂无在华注册代表处。基金可能依托中国人民对外友好协会运作，但未找到独立注册信息。</t>
  </si>
  <si>
    <t>存续状态不明（未检索到持续运营或独立披露信息，需进一步核实）。</t>
  </si>
  <si>
    <t>International Committee on Fundraising Organizations</t>
  </si>
  <si>
    <t>ICFO</t>
  </si>
  <si>
    <t>国际筹款组织委员会</t>
  </si>
  <si>
    <t>否（为国际联盟型组织，无国家分支注册结构）</t>
  </si>
  <si>
    <t>行业自律组织 (Self-Regulatory Organization)</t>
  </si>
  <si>
    <t>info@icfo.org</t>
  </si>
  <si>
    <t>https://www.icfo.org</t>
  </si>
  <si>
    <t>成员包括 CARE, Oxfam, Save the Children 等国际发展组织</t>
  </si>
  <si>
    <t>全球筹款行业自律联盟，强调透明与伦理标准。</t>
  </si>
  <si>
    <t>正常运营（官网持续更新成员信息与行业声明）。</t>
  </si>
  <si>
    <t>International Union for Conservation of Nature</t>
  </si>
  <si>
    <t>IUCN</t>
  </si>
  <si>
    <t>国际自然保护联盟</t>
  </si>
  <si>
    <t>格朗（Gland）</t>
  </si>
  <si>
    <t>是（在全球设有区域与国家办公室，包括中国代表处）</t>
  </si>
  <si>
    <t>生物多样性保护 (Biodiversity Conservation)</t>
  </si>
  <si>
    <t>info@iucn.org</t>
  </si>
  <si>
    <t>https://www.iucn.org</t>
  </si>
  <si>
    <t>+41-22-999-0000</t>
  </si>
  <si>
    <t>IUCN拥有政府与NGO成员网络；参与UNFCCC、CBD等多边机制</t>
  </si>
  <si>
    <t>IUCN《濒危物种红色名录》为全球权威生态评估工具。</t>
  </si>
  <si>
    <t>在北京设有IUCN中国代表处（依法注册的代表机构）。</t>
  </si>
  <si>
    <t>正常运营（持续发布全球生态评估与政策报告）。</t>
  </si>
  <si>
    <t>LEF-Italia</t>
  </si>
  <si>
    <t>意大利欧洲妇女游说协调组织</t>
  </si>
  <si>
    <t>罗马（Rome）</t>
  </si>
  <si>
    <t>LEF-Italia 是欧洲妇女游说组织（European Women’s Lobby, EWL）在意大利的成员协调机构，致力于性别平等倡导、妇女权益保护与欧盟政策参与。</t>
  </si>
  <si>
    <t>欧盟 (European Union)</t>
  </si>
  <si>
    <t>European Women’s Lobby (EWL，欧洲妇女游说组织) 成员网络</t>
  </si>
  <si>
    <t>作为EWL意大利成员协调平台，参与欧盟性别政策倡导。</t>
  </si>
  <si>
    <t>正常运营（作为EWL成员网络持续参与欧盟倡导活动）。</t>
  </si>
  <si>
    <t>Mama Cash</t>
  </si>
  <si>
    <t>荷兰马马现金基金会</t>
  </si>
  <si>
    <t>阿姆斯特丹（Amsterdam）</t>
  </si>
  <si>
    <t>否（以总部为核心，通过全球伙伴开展资助）</t>
  </si>
  <si>
    <t>info@mamacash.org</t>
  </si>
  <si>
    <t>https://www.mamacash.org</t>
  </si>
  <si>
    <t>Prospera – International Network of Women’s Funds（国际女性基金网络）；OECD发展资助数据披露机构成员</t>
  </si>
  <si>
    <t>全球女性主义资助机构，长期支持基层女性组织与性别正义运动。</t>
  </si>
  <si>
    <t>可在性别平等与女性领导力议题探索合作。</t>
  </si>
  <si>
    <t>Norwegian Lutheran Mission</t>
  </si>
  <si>
    <t>NLM</t>
  </si>
  <si>
    <t>挪威路德会宣教会</t>
  </si>
  <si>
    <t>是（在非洲、亚洲及南美部分国家设有宣教与发展项目办公室）</t>
  </si>
  <si>
    <t>NLM 是挪威基督教宣教组织，致力于宗教宣教、教育、卫生与社区发展项目。通过与当地教会及合作伙伴实施长期发展与人道项目。</t>
  </si>
  <si>
    <t>post@nlm.no</t>
  </si>
  <si>
    <t>https://www.nlm.no</t>
  </si>
  <si>
    <t>+47-22-00-72-00</t>
  </si>
  <si>
    <t>挪威教会网络成员；参与挪威发展合作体系</t>
  </si>
  <si>
    <t>挪威大型宗教宣教组织之一，结合信仰与社区发展。</t>
  </si>
  <si>
    <t>正常运营（官网持续更新全球项目与年度报告）。</t>
  </si>
  <si>
    <t>Oxfam Novib</t>
  </si>
  <si>
    <t>荷兰乐施会</t>
  </si>
  <si>
    <t>海牙（The Hague）</t>
  </si>
  <si>
    <t>否（通过全球乐施会网络开展项目；未发现中国注册代表处）</t>
  </si>
  <si>
    <t>info@oxfamnovib.nl</t>
  </si>
  <si>
    <t>https://www.oxfamnovib.nl</t>
  </si>
  <si>
    <t>+31-70-342-16-21</t>
  </si>
  <si>
    <t>Oxfam International（乐施会国际联盟）成员；参与全球发展倡导网络</t>
  </si>
  <si>
    <t>荷兰最大国际发展NGO之一，长期参与全球倡导与资助项目。</t>
  </si>
  <si>
    <t>暂无在华注册代表处。Oxfam Hong Kong（乐施会香港）在中国大陆开展项目，但Oxfam Novib本身未见大陆注册信息。</t>
  </si>
  <si>
    <t>Romanian Association Against AIDS</t>
  </si>
  <si>
    <t>ARAS</t>
  </si>
  <si>
    <t>罗马尼亚抗艾滋病协会</t>
  </si>
  <si>
    <t>布加勒斯特（Bucharest）</t>
  </si>
  <si>
    <t>否（为本国NGO）</t>
  </si>
  <si>
    <t>东欧 (Eastern Europe)</t>
  </si>
  <si>
    <t>健康倡导机构 (Health Advocacy Organization)</t>
  </si>
  <si>
    <t>office@arasnet.ro</t>
  </si>
  <si>
    <t>https://www.arasnet.ro</t>
  </si>
  <si>
    <t>+40-21-210-44-49</t>
  </si>
  <si>
    <t>参与欧洲艾滋病与公共卫生合作网络</t>
  </si>
  <si>
    <t>罗马尼亚重要公共卫生NGO之一，专注HIV/AIDS与弱势群体权益。</t>
  </si>
  <si>
    <t>正常运营（官网持续更新项目与活动信息）。</t>
  </si>
  <si>
    <t>Südwind</t>
  </si>
  <si>
    <t>奥地利南风发展政策协会</t>
  </si>
  <si>
    <t>维也纳（Vienna）</t>
  </si>
  <si>
    <t>否（为奥地利本国NGO）</t>
  </si>
  <si>
    <t>教育与能力建设机构 (Capacity Building Organization)</t>
  </si>
  <si>
    <t>office@suedwind.at</t>
  </si>
  <si>
    <t>https://www.suedwind.at</t>
  </si>
  <si>
    <t>+43-1-405-5515</t>
  </si>
  <si>
    <t>参与欧洲发展NGO合作网络；与公平贸易组织合作</t>
  </si>
  <si>
    <t>奥地利发展政策倡导机构，长期推动公平贸易与供应链责任议题。</t>
  </si>
  <si>
    <t>正常运营（官网持续更新倡导与教育项目）。</t>
  </si>
  <si>
    <t>Charles Léopold Mayer Foundation for the Progress of Humankind</t>
  </si>
  <si>
    <t>FPH</t>
  </si>
  <si>
    <t>查尔斯·莱奥波德·梅耶促进人类进步基金会</t>
  </si>
  <si>
    <t>洛桑（Lausanne）</t>
  </si>
  <si>
    <t>否（通过资助与合作网络开展全球项目）</t>
  </si>
  <si>
    <t>网络支持机构 (Network Support Organization)</t>
  </si>
  <si>
    <t>info@fph.ch</t>
  </si>
  <si>
    <t>https://www.fph.ch</t>
  </si>
  <si>
    <t>支持多区域公民社会网络与全球治理改革项目</t>
  </si>
  <si>
    <t>长期资助全球南方与跨区域公民社会合作项目。</t>
  </si>
  <si>
    <t>正常运营（官网持续更新资助与研究项目）。</t>
  </si>
  <si>
    <t>The Danish Centre for Human Rights</t>
  </si>
  <si>
    <t>DCHR</t>
  </si>
  <si>
    <t>丹麦人权中心</t>
  </si>
  <si>
    <t>否（已并入其他机构）</t>
  </si>
  <si>
    <t>DCHR 已于2002年并入 Danish Institute for Human Rights（DIHR）。</t>
  </si>
  <si>
    <t>暂无在华注册代表处。</t>
  </si>
  <si>
    <t>已停止独立运营（2002年并入DIHR）。</t>
  </si>
  <si>
    <t>德国</t>
    <phoneticPr fontId="1" type="noConversion"/>
  </si>
  <si>
    <t>检索状态</t>
    <phoneticPr fontId="1" type="noConversion"/>
  </si>
  <si>
    <t>Bread for the World 德国粮惠世界</t>
    <phoneticPr fontId="1" type="noConversion"/>
  </si>
  <si>
    <t>✅</t>
    <phoneticPr fontId="1" type="noConversion"/>
  </si>
  <si>
    <t>Bund für Umwelt und Naturschutz Deutschland, Germany (BUND)</t>
    <phoneticPr fontId="1" type="noConversion"/>
  </si>
  <si>
    <t>CAN International 国际气候行动网络</t>
    <phoneticPr fontId="1" type="noConversion"/>
  </si>
  <si>
    <t>Caritas Germany 德国明爱组织</t>
    <phoneticPr fontId="1" type="noConversion"/>
  </si>
  <si>
    <t>CBM International 国际防盲治盲组织</t>
    <phoneticPr fontId="1" type="noConversion"/>
  </si>
  <si>
    <t>Center for international Migration and Development, Germany 德国国际交流中心</t>
    <phoneticPr fontId="1" type="noConversion"/>
  </si>
  <si>
    <t>EED, Germany 德国基督教发展服务社</t>
    <phoneticPr fontId="1" type="noConversion"/>
  </si>
  <si>
    <t>EZE, Germany</t>
    <phoneticPr fontId="1" type="noConversion"/>
  </si>
  <si>
    <t>Federal Ministry for Economic Cooperation and development,Germany (BMZ) 德国经合部</t>
    <phoneticPr fontId="1" type="noConversion"/>
  </si>
  <si>
    <t>Federal Ministry for the Environment, Nature Conservation and Nuclear Safety of Germany (BMU)  德国环境部</t>
    <phoneticPr fontId="1" type="noConversion"/>
  </si>
  <si>
    <t>Gender CC, Germany</t>
    <phoneticPr fontId="1" type="noConversion"/>
  </si>
  <si>
    <t>German Watch 德国观察</t>
    <phoneticPr fontId="1" type="noConversion"/>
  </si>
  <si>
    <t>German Women’s Ring, Germany</t>
    <phoneticPr fontId="1" type="noConversion"/>
  </si>
  <si>
    <t>German, Agro-Action</t>
    <phoneticPr fontId="1" type="noConversion"/>
  </si>
  <si>
    <t>Grüne Liga, Germany</t>
    <phoneticPr fontId="1" type="noConversion"/>
  </si>
  <si>
    <t>GTZ Beijing office 德国技术合作公司</t>
    <phoneticPr fontId="1" type="noConversion"/>
  </si>
  <si>
    <t>Heinrich Boell Foundation (Germany) 海因里希·伯尔基金会</t>
    <phoneticPr fontId="1" type="noConversion"/>
  </si>
  <si>
    <t>Inwent, Germany</t>
    <phoneticPr fontId="1" type="noConversion"/>
  </si>
  <si>
    <t>Konrad Adenauer Foundation 阿登纳基金会</t>
    <phoneticPr fontId="1" type="noConversion"/>
  </si>
  <si>
    <t>Mauricio Sartorius Milans Del Bosch</t>
    <phoneticPr fontId="1" type="noConversion"/>
  </si>
  <si>
    <t>N/A</t>
    <phoneticPr fontId="1" type="noConversion"/>
  </si>
  <si>
    <t>MISEREOR, Germany 德国米苏尔基金会</t>
    <phoneticPr fontId="1" type="noConversion"/>
  </si>
  <si>
    <t>National Council of German Women’s Organizations, Germany</t>
    <phoneticPr fontId="1" type="noConversion"/>
  </si>
  <si>
    <t>National Network for Civil Society, Germany</t>
    <phoneticPr fontId="1" type="noConversion"/>
  </si>
  <si>
    <t>Powershift, Germany</t>
    <phoneticPr fontId="1" type="noConversion"/>
  </si>
  <si>
    <t>Robert Bosch Stiftung, Germnay 德国罗伯特·博世基金会</t>
    <phoneticPr fontId="1" type="noConversion"/>
  </si>
  <si>
    <t>Rosa Luxemberg Stiftung (RLS), Germany 德国罗莎·卢森堡基金会</t>
    <phoneticPr fontId="1" type="noConversion"/>
  </si>
  <si>
    <t>Stiftung Asienhaus, Germany 德国亚洲之家基金会</t>
    <phoneticPr fontId="1" type="noConversion"/>
  </si>
  <si>
    <t>Stiftung Mercator 德国墨卡托基金会</t>
    <phoneticPr fontId="1" type="noConversion"/>
  </si>
  <si>
    <t>Waldkindergarten, Germany</t>
    <phoneticPr fontId="1" type="noConversion"/>
  </si>
  <si>
    <t>英国</t>
    <phoneticPr fontId="1" type="noConversion"/>
  </si>
  <si>
    <t>ACEVO, UK</t>
    <phoneticPr fontId="1" type="noConversion"/>
  </si>
  <si>
    <t>BBC Media Action</t>
    <phoneticPr fontId="1" type="noConversion"/>
  </si>
  <si>
    <t>BBC World Service Trust 英国广播公司威斯特基金会</t>
    <phoneticPr fontId="1" type="noConversion"/>
  </si>
  <si>
    <t>British Government</t>
    <phoneticPr fontId="1" type="noConversion"/>
  </si>
  <si>
    <t>CDP Worldwide, UK</t>
    <phoneticPr fontId="1" type="noConversion"/>
  </si>
  <si>
    <t>Chatham House, UK 英国皇家国际事务研究所</t>
    <phoneticPr fontId="1" type="noConversion"/>
  </si>
  <si>
    <t>Children's Investment Fund Foundation (CIFF) 英国儿童投资基金会</t>
    <phoneticPr fontId="1" type="noConversion"/>
  </si>
  <si>
    <t>China Dialogue Trust, UK 中外对话</t>
    <phoneticPr fontId="1" type="noConversion"/>
  </si>
  <si>
    <t>CIHM, Leeds University Business School, UK</t>
    <phoneticPr fontId="1" type="noConversion"/>
  </si>
  <si>
    <t>ClientEarth 克莱恩斯欧洲环保协会</t>
    <phoneticPr fontId="1" type="noConversion"/>
  </si>
  <si>
    <t>Department for Environment, Food and Rural Affairs (Defra) 英国环境、食品与农村事务部</t>
    <phoneticPr fontId="1" type="noConversion"/>
  </si>
  <si>
    <t>Great Britain China Center (GBCC), UK</t>
    <phoneticPr fontId="1" type="noConversion"/>
  </si>
  <si>
    <t>HOPE International</t>
    <phoneticPr fontId="1" type="noConversion"/>
  </si>
  <si>
    <t>Islamic Relief, UK 英国伊斯兰救助组织</t>
    <phoneticPr fontId="1" type="noConversion"/>
  </si>
  <si>
    <t>Oxfam UK</t>
    <phoneticPr fontId="1" type="noConversion"/>
  </si>
  <si>
    <t>Save the Children</t>
    <phoneticPr fontId="1" type="noConversion"/>
  </si>
  <si>
    <t>The British Embassy, Beijing</t>
    <phoneticPr fontId="1" type="noConversion"/>
  </si>
  <si>
    <t>The Salvation Army Hong Kong and Macau Command 港澳救世军</t>
    <phoneticPr fontId="1" type="noConversion"/>
  </si>
  <si>
    <r>
      <rPr>
        <sz val="14"/>
        <color theme="1"/>
        <rFont val="Segoe UI Emoji"/>
        <family val="2"/>
      </rPr>
      <t>✅</t>
    </r>
    <r>
      <rPr>
        <sz val="14"/>
        <color theme="1"/>
        <rFont val="Apple Color Emoji"/>
        <family val="4"/>
      </rPr>
      <t>属于亚洲</t>
    </r>
    <phoneticPr fontId="1" type="noConversion"/>
  </si>
  <si>
    <t>Third Generation Environmentalism, UK</t>
    <phoneticPr fontId="1" type="noConversion"/>
  </si>
  <si>
    <t>University of Nottingham UK</t>
    <phoneticPr fontId="1" type="noConversion"/>
  </si>
  <si>
    <t>VSO 英国海外支援服务社中国办公室</t>
    <phoneticPr fontId="1" type="noConversion"/>
  </si>
  <si>
    <t>World Animal Protection</t>
    <phoneticPr fontId="1" type="noConversion"/>
  </si>
  <si>
    <t>法国</t>
    <phoneticPr fontId="1" type="noConversion"/>
  </si>
  <si>
    <t>Association 4D, France</t>
    <phoneticPr fontId="1" type="noConversion"/>
  </si>
  <si>
    <t>Association for the Development of Citizen and European Initiatives (ADICE) 法国欧洲促进公民发展协会</t>
    <phoneticPr fontId="1" type="noConversion"/>
  </si>
  <si>
    <t>AUCHAN</t>
    <phoneticPr fontId="1" type="noConversion"/>
  </si>
  <si>
    <t>Eurasia Net</t>
    <phoneticPr fontId="1" type="noConversion"/>
  </si>
  <si>
    <t xml:space="preserve">International Forum of National NGO Platforms (Forus) </t>
    <phoneticPr fontId="1" type="noConversion"/>
  </si>
  <si>
    <t>UNESCO 联合国教科文组织</t>
    <phoneticPr fontId="1" type="noConversion"/>
  </si>
  <si>
    <t>非洲</t>
    <phoneticPr fontId="1" type="noConversion"/>
  </si>
  <si>
    <t>Coptic Evangelical Organization for Social Services（CEOSS）</t>
    <phoneticPr fontId="1" type="noConversion"/>
  </si>
  <si>
    <t>港澳台</t>
    <phoneticPr fontId="1" type="noConversion"/>
  </si>
  <si>
    <t>Agency for Volunteer Service, Hongkong</t>
    <phoneticPr fontId="1" type="noConversion"/>
  </si>
  <si>
    <t>Badi-Foundation, Macau</t>
    <phoneticPr fontId="1" type="noConversion"/>
  </si>
  <si>
    <t>Catholic Social Services, Macau</t>
    <phoneticPr fontId="1" type="noConversion"/>
  </si>
  <si>
    <t>Chi Heng Foundation 智行基金会</t>
    <phoneticPr fontId="1" type="noConversion"/>
  </si>
  <si>
    <t>Global Institute for Tomorrow (GIFT)</t>
    <phoneticPr fontId="1" type="noConversion"/>
  </si>
  <si>
    <t>Greenpeace East Asia 绿色和平东亚</t>
    <phoneticPr fontId="1" type="noConversion"/>
  </si>
  <si>
    <t>Oxfam Hong Kong 香港乐施会</t>
    <phoneticPr fontId="1" type="noConversion"/>
  </si>
  <si>
    <t>Partnerships for Community Development 
(PCD), Hong Kong</t>
    <phoneticPr fontId="1" type="noConversion"/>
  </si>
  <si>
    <t>World Vision, Hong Kong 世界宣明会（香港）</t>
    <phoneticPr fontId="1" type="noConversion"/>
  </si>
  <si>
    <t>东南亚</t>
    <phoneticPr fontId="1" type="noConversion"/>
  </si>
  <si>
    <t>Asian Credit Union</t>
    <phoneticPr fontId="1" type="noConversion"/>
  </si>
  <si>
    <t>Asian Development Bank (ADB)</t>
    <phoneticPr fontId="1" type="noConversion"/>
  </si>
  <si>
    <t>Asian NGO Coalition for Agrarian Reform and Rural Development (ANGOC) 亚洲土地改革和乡村发展民间组织联盟</t>
    <phoneticPr fontId="1" type="noConversion"/>
  </si>
  <si>
    <t>Asia-Pacific Association of Agricultural Research Institutions</t>
    <phoneticPr fontId="1" type="noConversion"/>
  </si>
  <si>
    <t>Asia-Pacific Research Network (APRN) 亚太研究网络</t>
    <phoneticPr fontId="1" type="noConversion"/>
  </si>
  <si>
    <t>Cambodia YMCA</t>
    <phoneticPr fontId="1" type="noConversion"/>
  </si>
  <si>
    <t>Center for Environmental Concerns Phillippines</t>
    <phoneticPr fontId="1" type="noConversion"/>
  </si>
  <si>
    <t>Clean Air Asia</t>
    <phoneticPr fontId="1" type="noConversion"/>
  </si>
  <si>
    <t>Cooperation Committee for Cambodia (CCC)</t>
    <phoneticPr fontId="1" type="noConversion"/>
  </si>
  <si>
    <t>FAO Regional office for Asia and the Pacific 粮农组织亚洲及太平洋区域办事处</t>
    <phoneticPr fontId="1" type="noConversion"/>
  </si>
  <si>
    <t>Lancang-Mekong Development Foundation 澜湄发展基金会</t>
    <phoneticPr fontId="1" type="noConversion"/>
  </si>
  <si>
    <t>Nanyang Technological University, Singapore</t>
    <phoneticPr fontId="1" type="noConversion"/>
  </si>
  <si>
    <t>Nepal China Academy</t>
    <phoneticPr fontId="1" type="noConversion"/>
  </si>
  <si>
    <t>Open Forum for CSO Development Effectiveness, Philippines</t>
  </si>
  <si>
    <t>Philippine-China Development Resource Center (PDRC)</t>
    <phoneticPr fontId="1" type="noConversion"/>
  </si>
  <si>
    <t>SJ Vietnam</t>
    <phoneticPr fontId="1" type="noConversion"/>
  </si>
  <si>
    <t>The Reality of AID (RoA), the philippines 真实援助</t>
    <phoneticPr fontId="1" type="noConversion"/>
  </si>
  <si>
    <t>UNDP Laos Office</t>
    <phoneticPr fontId="1" type="noConversion"/>
  </si>
  <si>
    <t>UNDP Vietnam Office</t>
    <phoneticPr fontId="1" type="noConversion"/>
  </si>
  <si>
    <t>UNESCAP (The Economic and Social Commission for Asia and the Pacific) 联合国亚太经济与社会理事会</t>
    <phoneticPr fontId="1" type="noConversion"/>
  </si>
  <si>
    <t>日韩</t>
    <phoneticPr fontId="1" type="noConversion"/>
  </si>
  <si>
    <t>Asia Pacific Philanthropy Consortium (APPC) 亚太公益联盟</t>
    <phoneticPr fontId="1" type="noConversion"/>
  </si>
  <si>
    <t>East Asia Climate Network, Japan</t>
    <phoneticPr fontId="1" type="noConversion"/>
  </si>
  <si>
    <t>FASID, Japan</t>
    <phoneticPr fontId="1" type="noConversion"/>
  </si>
  <si>
    <t>Food for the Hungry, Japan 日本国际反饥饿组织</t>
    <phoneticPr fontId="1" type="noConversion"/>
  </si>
  <si>
    <t xml:space="preserve">Foundation for Advanced Studies on International Development, Japan </t>
    <phoneticPr fontId="1" type="noConversion"/>
  </si>
  <si>
    <t>Hiroshima University 日本广岛大学</t>
    <phoneticPr fontId="1" type="noConversion"/>
  </si>
  <si>
    <t>ISEP 日本可持续能源政策研究所</t>
    <phoneticPr fontId="1" type="noConversion"/>
  </si>
  <si>
    <t>JANUS, Japan</t>
    <phoneticPr fontId="1" type="noConversion"/>
  </si>
  <si>
    <t>Japan Association of Charity Organization (JACO) 日本公益法人协会</t>
    <phoneticPr fontId="1" type="noConversion"/>
  </si>
  <si>
    <t>Japan Bank for International Cooperation 日本国际协力银行</t>
    <phoneticPr fontId="1" type="noConversion"/>
  </si>
  <si>
    <t>Japan Federation of Senior Citizen’s Club 日本老年人协会</t>
    <phoneticPr fontId="1" type="noConversion"/>
  </si>
  <si>
    <t>Japan International Cooperation Agency</t>
    <phoneticPr fontId="1" type="noConversion"/>
  </si>
  <si>
    <t>Japan International Institute for Volunteering Research (JIVRI)</t>
    <phoneticPr fontId="1" type="noConversion"/>
  </si>
  <si>
    <t>Japan Kansai NPO Alliance 日本关西民间组织协议会</t>
    <phoneticPr fontId="1" type="noConversion"/>
  </si>
  <si>
    <t>Japan NGO Center for International Cooperation (JANIC)</t>
    <phoneticPr fontId="1" type="noConversion"/>
  </si>
  <si>
    <t>Japan Platform (JPF) 日本平台</t>
    <phoneticPr fontId="1" type="noConversion"/>
  </si>
  <si>
    <t>Japanese Embassy in China</t>
    <phoneticPr fontId="1" type="noConversion"/>
  </si>
  <si>
    <t>Japan's politics and law University, NGO liaison with disabilities</t>
    <phoneticPr fontId="1" type="noConversion"/>
  </si>
  <si>
    <t>Keidanren Committee on Nature Conservation, Japan 日本经团联自然保护基金</t>
    <phoneticPr fontId="1" type="noConversion"/>
  </si>
  <si>
    <t>KOICA</t>
    <phoneticPr fontId="1" type="noConversion"/>
  </si>
  <si>
    <t>Konkuk University</t>
    <phoneticPr fontId="1" type="noConversion"/>
  </si>
  <si>
    <t>Korea Forum of Volunteerism (KVF), Korea 韩国志愿服务论坛</t>
    <phoneticPr fontId="1" type="noConversion"/>
  </si>
  <si>
    <t>Korean Civil Society Forum on International Development Cooperation (KoFID) 韩国非政府组织国际发展联盟</t>
    <phoneticPr fontId="1" type="noConversion"/>
  </si>
  <si>
    <t>Korean NGO Council for Overseas Development Cooperation (KCOC) 韩国民间组织海外发展合作委员会</t>
    <phoneticPr fontId="1" type="noConversion"/>
  </si>
  <si>
    <t>Korean Sharing Movement</t>
    <phoneticPr fontId="1" type="noConversion"/>
  </si>
  <si>
    <t>Kyoto saga University of Arts</t>
    <phoneticPr fontId="1" type="noConversion"/>
  </si>
  <si>
    <t>Niwano Peace Foundation, Japan</t>
    <phoneticPr fontId="1" type="noConversion"/>
  </si>
  <si>
    <t>Northeast Asia Regional Peacebuilding Institute 
(NARPI)</t>
    <phoneticPr fontId="1" type="noConversion"/>
  </si>
  <si>
    <t>Peace Boat Japan</t>
    <phoneticPr fontId="1" type="noConversion"/>
  </si>
  <si>
    <t>Sungkonghoe Univeristy, Korea</t>
    <phoneticPr fontId="1" type="noConversion"/>
  </si>
  <si>
    <t>The Buddhist NGO Network, Japan (BNN)</t>
    <phoneticPr fontId="1" type="noConversion"/>
  </si>
  <si>
    <t>The Japan Foundation</t>
    <phoneticPr fontId="1" type="noConversion"/>
  </si>
  <si>
    <t>The SASAKAWA Japan-China Friendship Fund</t>
    <phoneticPr fontId="1" type="noConversion"/>
  </si>
  <si>
    <t>The Sasakawa Peace Foundation 日本世川和平财团</t>
    <phoneticPr fontId="1" type="noConversion"/>
  </si>
  <si>
    <t>欧洲/澳洲</t>
    <phoneticPr fontId="1" type="noConversion"/>
  </si>
  <si>
    <t>Angara 俄罗斯贝加尔地区妇女联盟</t>
    <phoneticPr fontId="1" type="noConversion"/>
  </si>
  <si>
    <t>AREOPAGOS Foundation, Norway</t>
    <phoneticPr fontId="1" type="noConversion"/>
  </si>
  <si>
    <t>ATD Fourth World, Belgium</t>
    <phoneticPr fontId="1" type="noConversion"/>
  </si>
  <si>
    <t>AusAid, Australia</t>
    <phoneticPr fontId="1" type="noConversion"/>
  </si>
  <si>
    <t>BalkanKids Foundation</t>
    <phoneticPr fontId="1" type="noConversion"/>
  </si>
  <si>
    <t>Bread for all, Switzerland</t>
    <phoneticPr fontId="1" type="noConversion"/>
  </si>
  <si>
    <t>CAN Europe, Brussel</t>
    <phoneticPr fontId="1" type="noConversion"/>
  </si>
  <si>
    <t>CARE International</t>
    <phoneticPr fontId="1" type="noConversion"/>
  </si>
  <si>
    <t>Caritas Australia 澳大利亚明爱组织</t>
    <phoneticPr fontId="1" type="noConversion"/>
  </si>
  <si>
    <t>Caritas Denmark 丹麦明爱组织</t>
    <phoneticPr fontId="1" type="noConversion"/>
  </si>
  <si>
    <t>Center for Environment, Bosnia and Herzegovina (CZZS）</t>
    <phoneticPr fontId="1" type="noConversion"/>
  </si>
  <si>
    <t>CESIE Italy 欧洲政策与倡议中心</t>
    <phoneticPr fontId="1" type="noConversion"/>
  </si>
  <si>
    <t>Codespa, Spain</t>
    <phoneticPr fontId="1" type="noConversion"/>
  </si>
  <si>
    <t>CONCORD, Belgium</t>
    <phoneticPr fontId="1" type="noConversion"/>
  </si>
  <si>
    <t>Danish Institute for Human Rights (DIHR) 丹麦人权研究所</t>
    <phoneticPr fontId="1" type="noConversion"/>
  </si>
  <si>
    <t>European Commission</t>
    <phoneticPr fontId="1" type="noConversion"/>
  </si>
  <si>
    <t>Fern, Ixelles, Belgium</t>
    <phoneticPr fontId="1" type="noConversion"/>
  </si>
  <si>
    <t>Finnish Embassy in China</t>
    <phoneticPr fontId="1" type="noConversion"/>
  </si>
  <si>
    <t>Finnish Government</t>
    <phoneticPr fontId="1" type="noConversion"/>
  </si>
  <si>
    <t>Formaper-Agency of Milan Chamber of Commerce, Industry, Handcraft and Agriculture 意大利米兰手工艺农业商会</t>
    <phoneticPr fontId="1" type="noConversion"/>
  </si>
  <si>
    <t>Foundation Institute for Socio-Economic Balance, Poland (IRSE)</t>
    <phoneticPr fontId="1" type="noConversion"/>
  </si>
  <si>
    <t>ING Insurance-CPAFFC Fund 荷兰保险-中国人民对外友好协会基金</t>
    <phoneticPr fontId="1" type="noConversion"/>
  </si>
  <si>
    <t>International Committee on Fundraising Organization (ICFC)</t>
    <phoneticPr fontId="1" type="noConversion"/>
  </si>
  <si>
    <t>International Union for the Conservation of Nature (IUCN)</t>
    <phoneticPr fontId="1" type="noConversion"/>
  </si>
  <si>
    <t>Kerry Salvat Logistics</t>
    <phoneticPr fontId="1" type="noConversion"/>
  </si>
  <si>
    <t>LEF-Italia 意大利欧洲妇女游说协调组织</t>
    <phoneticPr fontId="1" type="noConversion"/>
  </si>
  <si>
    <t>Mama Cash, the Netherlands</t>
    <phoneticPr fontId="1" type="noConversion"/>
  </si>
  <si>
    <t>Nature Code-Center of Development and Environment, Austria</t>
    <phoneticPr fontId="1" type="noConversion"/>
  </si>
  <si>
    <t>NLM (Norwegian Lutheran Mission)</t>
    <phoneticPr fontId="1" type="noConversion"/>
  </si>
  <si>
    <t>NOVIB 荷兰外交部</t>
    <phoneticPr fontId="1" type="noConversion"/>
  </si>
  <si>
    <t>Oxfam Novib 荷兰乐施会</t>
    <phoneticPr fontId="1" type="noConversion"/>
  </si>
  <si>
    <t>Romanian Association Against AIDS, Romania (ARAS)</t>
    <phoneticPr fontId="1" type="noConversion"/>
  </si>
  <si>
    <t>Südwind, Vienna, Austria</t>
    <phoneticPr fontId="1" type="noConversion"/>
  </si>
  <si>
    <t>The Charles Léopold Mayer Foundation for the Progress of Humankind, Switzerland</t>
    <phoneticPr fontId="1" type="noConversion"/>
  </si>
  <si>
    <t>The Danish Center For Human Rights (DCHR)</t>
    <phoneticPr fontId="1" type="noConversion"/>
  </si>
  <si>
    <t>The EU delegation in China</t>
    <phoneticPr fontId="1" type="noConversion"/>
  </si>
  <si>
    <t>The Global Partnership for the Prevention of Armed Conflict (GPPAC) 全球防止武装冲突伙伴关系</t>
    <phoneticPr fontId="1" type="noConversion"/>
  </si>
  <si>
    <t>UNIDO (United Nations Industrial Development Organization) 联合国工业发展组织</t>
    <phoneticPr fontId="1" type="noConversion"/>
  </si>
  <si>
    <t>Wild Geese Foundation, Netherland</t>
    <phoneticPr fontId="1" type="noConversion"/>
  </si>
  <si>
    <t>World Council of Churches 世界基督教会联合会</t>
    <phoneticPr fontId="1" type="noConversion"/>
  </si>
  <si>
    <t>World Farmers’ Organization (WFO) 世界农民组织</t>
    <phoneticPr fontId="1" type="noConversion"/>
  </si>
  <si>
    <t>World Rural Forum, Spain</t>
    <phoneticPr fontId="1" type="noConversion"/>
  </si>
  <si>
    <t>World Wide Fund for Nature in China</t>
    <phoneticPr fontId="1" type="noConversion"/>
  </si>
  <si>
    <t>YouNet, Italy 意大利青年人网络</t>
    <phoneticPr fontId="1" type="noConversion"/>
  </si>
  <si>
    <t>Zvezda Nadezhdy 俄罗斯希望之星</t>
    <phoneticPr fontId="1" type="noConversion"/>
  </si>
  <si>
    <t>Wild Geese Foundation</t>
  </si>
  <si>
    <t>荷兰野雁基金会</t>
  </si>
  <si>
    <t>否（通过资助与合作伙伴开展项目）</t>
  </si>
  <si>
    <t>全球南方 (Global South)</t>
  </si>
  <si>
    <t>社区支持平台 (Community Support Organization)</t>
  </si>
  <si>
    <t>info@wildgeese.nl</t>
  </si>
  <si>
    <t>https://www.wildeganzen.nl</t>
  </si>
  <si>
    <t>+31-20-489-38-89</t>
  </si>
  <si>
    <t>参与荷兰发展合作网络；与企业与公民社会合作筹资</t>
  </si>
  <si>
    <t>以“共同筹资”模式著称，支持基层发展项目。</t>
  </si>
  <si>
    <t>正常运营（官网持续发布资助项目与年度报告）。</t>
  </si>
  <si>
    <t>World Council of Churches</t>
  </si>
  <si>
    <t>WCC</t>
  </si>
  <si>
    <t>世界基督教会联合会</t>
  </si>
  <si>
    <t>是（通过全球成员教会与区域机构开展活动；未在中国大陆注册代表处）</t>
  </si>
  <si>
    <t>info@oikoumene.org</t>
  </si>
  <si>
    <t>https://www.oikoumene.org</t>
  </si>
  <si>
    <t>+41-22-791-61-11</t>
  </si>
  <si>
    <t>与联合国机制保持合作关系；全球教会联盟网络</t>
  </si>
  <si>
    <t>全球最大跨宗派教会联盟之一，长期参与社会公正与和平倡导。</t>
  </si>
  <si>
    <t>暂无在华注册代表处。与中国基督教协会等宗教机构有宗教交流层面往来。</t>
  </si>
  <si>
    <t>正常运营（持续召开全球大会并发布政策声明）。</t>
  </si>
  <si>
    <t>World Rural Forum</t>
  </si>
  <si>
    <t>WRF</t>
  </si>
  <si>
    <t>巴斯克自治区维多利亚（Vitoria-Gasteiz）</t>
  </si>
  <si>
    <t>是（通过全球农民网络与区域伙伴开展合作）</t>
  </si>
  <si>
    <t>info@ruralforum.net</t>
  </si>
  <si>
    <t>https://www.ruralforum.net</t>
  </si>
  <si>
    <t>+34-945-12-33-54</t>
  </si>
  <si>
    <t>联合国“家庭农业十年”倡议合作伙伴；与全球农民网络合作</t>
  </si>
  <si>
    <t>全球家庭农业倡导平台，强调农民组织在全球粮食治理中的角色。</t>
  </si>
  <si>
    <t>正常运营（持续参与联合国农业议程与全球倡导活动）。</t>
  </si>
  <si>
    <t>世界乡村论坛</t>
    <phoneticPr fontId="1" type="noConversion"/>
  </si>
  <si>
    <t>World Wide Fund for Nature in China</t>
  </si>
  <si>
    <t>WWF China</t>
  </si>
  <si>
    <t>世界自然基金会（中国）</t>
  </si>
  <si>
    <t>是（WWF为全球网络，在100多个国家设有办公室）</t>
  </si>
  <si>
    <t>企业可持续发展与ESG (Corporate Sustainability &amp; ESG)</t>
  </si>
  <si>
    <t>info@wwfchina.org</t>
  </si>
  <si>
    <t>https://www.wwfchina.org</t>
  </si>
  <si>
    <t>+86-10-8527-1212</t>
  </si>
  <si>
    <t>WWF International（世界自然基金会国际网络）；参与UNFCCC、CBD等多边机制</t>
  </si>
  <si>
    <t>全球最大环保组织之一，在中国长期开展生态与气候项目。</t>
  </si>
  <si>
    <t>在北京设有WWF中国办公室（依法注册的代表机构）。</t>
  </si>
  <si>
    <t>正常运营（持续发布年度报告与中国项目进展）。</t>
  </si>
  <si>
    <t>YouNet</t>
  </si>
  <si>
    <t>意大利青年人网络</t>
  </si>
  <si>
    <t>博洛尼亚（Bologna）</t>
  </si>
  <si>
    <t>是（通过欧盟项目在多国开展合作活动）</t>
  </si>
  <si>
    <t>青年发展与公民参与 (Youth Development &amp; Civic Engagement)</t>
  </si>
  <si>
    <t>info@younet.eu</t>
  </si>
  <si>
    <t>https://www.younet.eu</t>
  </si>
  <si>
    <t>参与 Erasmus+ 青年合作网络</t>
  </si>
  <si>
    <t>专注欧盟青年交流与能力建设项目。</t>
  </si>
  <si>
    <t>正常运营（官网持续更新欧盟项目与青年活动）。</t>
  </si>
  <si>
    <t>更新日期：2026年2月</t>
    <phoneticPr fontId="1" type="noConversion"/>
  </si>
  <si>
    <t>机构名称</t>
    <phoneticPr fontId="1" type="noConversion"/>
  </si>
  <si>
    <t>成立时间</t>
    <phoneticPr fontId="1" type="noConversion"/>
  </si>
  <si>
    <t>总部所在</t>
    <phoneticPr fontId="1" type="noConversion"/>
  </si>
  <si>
    <t>是否有分支机构</t>
    <phoneticPr fontId="1" type="noConversion"/>
  </si>
  <si>
    <t>机构业务及开展区域</t>
    <phoneticPr fontId="1" type="noConversion"/>
  </si>
  <si>
    <t>机构性质
（法律身份、本质属性）</t>
    <phoneticPr fontId="1" type="noConversion"/>
  </si>
  <si>
    <t>机构类型
（职能定位、合作方式）</t>
    <phoneticPr fontId="1" type="noConversion"/>
  </si>
  <si>
    <t>主要关注哪类议题</t>
    <phoneticPr fontId="1" type="noConversion"/>
  </si>
  <si>
    <t>联系方式</t>
    <phoneticPr fontId="1" type="noConversion"/>
  </si>
  <si>
    <t>（英文）</t>
    <phoneticPr fontId="1" type="noConversion"/>
  </si>
  <si>
    <t>（英文缩写）</t>
    <phoneticPr fontId="1" type="noConversion"/>
  </si>
  <si>
    <t>（中文，如有）</t>
    <phoneticPr fontId="1" type="noConversion"/>
  </si>
  <si>
    <t>区域</t>
    <phoneticPr fontId="1" type="noConversion"/>
  </si>
  <si>
    <t>国家/地区</t>
    <phoneticPr fontId="1" type="noConversion"/>
  </si>
  <si>
    <t>城市</t>
    <phoneticPr fontId="1" type="noConversion"/>
  </si>
  <si>
    <t>中国</t>
    <phoneticPr fontId="1" type="noConversion"/>
  </si>
  <si>
    <t>其他国家</t>
    <phoneticPr fontId="1" type="noConversion"/>
  </si>
  <si>
    <t>机构主要业务（200字内）</t>
    <phoneticPr fontId="1" type="noConversion"/>
  </si>
  <si>
    <t>主要区域</t>
    <phoneticPr fontId="1" type="noConversion"/>
  </si>
  <si>
    <t>次要区域</t>
    <phoneticPr fontId="1" type="noConversion"/>
  </si>
  <si>
    <t>主要</t>
    <phoneticPr fontId="1" type="noConversion"/>
  </si>
  <si>
    <t>主要类型</t>
    <phoneticPr fontId="1" type="noConversion"/>
  </si>
  <si>
    <t>次要类型</t>
    <phoneticPr fontId="1" type="noConversion"/>
  </si>
  <si>
    <t>I类</t>
    <phoneticPr fontId="1" type="noConversion"/>
  </si>
  <si>
    <t>II类</t>
    <phoneticPr fontId="1" type="noConversion"/>
  </si>
  <si>
    <t>III类</t>
    <phoneticPr fontId="1" type="noConversion"/>
  </si>
  <si>
    <t>姓名</t>
    <phoneticPr fontId="1" type="noConversion"/>
  </si>
  <si>
    <t>职务</t>
    <phoneticPr fontId="1" type="noConversion"/>
  </si>
  <si>
    <t>邮箱</t>
    <phoneticPr fontId="1" type="noConversion"/>
  </si>
  <si>
    <t>机构网站/新媒体账号</t>
    <phoneticPr fontId="1" type="noConversion"/>
  </si>
  <si>
    <t>电话</t>
    <phoneticPr fontId="1" type="noConversion"/>
  </si>
  <si>
    <t>该机构加入的其他国际网络/组织</t>
    <phoneticPr fontId="1" type="noConversion"/>
  </si>
  <si>
    <t>其他信息
（机构特点、品牌项目等）</t>
    <phoneticPr fontId="1" type="noConversion"/>
  </si>
  <si>
    <t>在华分支机构详细信息
或在华开展业务情况（如有）</t>
    <phoneticPr fontId="1" type="noConversion"/>
  </si>
  <si>
    <t>合作状态</t>
    <phoneticPr fontId="1" type="noConversion"/>
  </si>
  <si>
    <t>中国民促会CANGO与其合作经历</t>
    <phoneticPr fontId="1" type="noConversion"/>
  </si>
  <si>
    <t>存续状态</t>
    <phoneticPr fontId="1" type="noConversion"/>
  </si>
  <si>
    <t>德国粮惠世界</t>
    <phoneticPr fontId="1" type="noConversion"/>
  </si>
  <si>
    <t>斯图加特
柏林</t>
    <phoneticPr fontId="1" type="noConversion"/>
  </si>
  <si>
    <t>Bread for the World（德国粮惠世界）致力于通过可持续农业实践、粮食安全项目及经济赋权计划减少全球饥饿。其核心工作包括：
主要工作领域：
全球南方国家的粮食安全、教育、卫生、水资源与妇女赋权
关注气候变化对弱势群体的影响
公平贸易、气候正义、移民权利等结构性倡导
合作模式：
与全球约90个国家的超过1500个合作伙伴组织开展长期合作
支持以社区为基础的可持续发展项目
推动全球政策改革，参与联合国系统等国际平台</t>
    <phoneticPr fontId="1" type="noConversion"/>
  </si>
  <si>
    <t>撒哈拉以南非洲 (Sub-Saharan Africa)：这是其项目最集中的地区之一，面临严重的贫困和粮食不安全问题。
亚洲 (Asia)：特别是南亚、东南亚和东亚地区，有大量人口需要发展援助。
拉丁美洲和加勒比 (Latin America and the Caribbean)：在许多国家开展项目，关注社会不平等和可持续发展。</t>
    <phoneticPr fontId="1" type="noConversion"/>
  </si>
  <si>
    <t>东欧和中亚 (Eastern Europe and Central Asia)</t>
    <phoneticPr fontId="1" type="noConversion"/>
  </si>
  <si>
    <t>非政府组织 / 社会组织 
(Non-Governmental / Civil Society Organization)</t>
  </si>
  <si>
    <t>网络型机构 
(Network Organization)</t>
  </si>
  <si>
    <t>执行型机构 
(Implementing Organization)</t>
  </si>
  <si>
    <t>社区发展与减贫 
(Community Development &amp; Poverty Reduction)</t>
  </si>
  <si>
    <t>食品安全与可持续农业 
(Food Security &amp; Sustainable Agriculture)</t>
  </si>
  <si>
    <t>环境与气候变化 
(Environment &amp; Climate Change)</t>
  </si>
  <si>
    <t>机构</t>
    <phoneticPr fontId="1" type="noConversion"/>
  </si>
  <si>
    <t>ACT Alliance（行动教会联合会）
CONCORD Europe（欧洲发展NGO平台）
VENRO（德国发展政策与人道主义援助非政府组织联盟）
CIDSE（国际天主教发展机构合作网络）</t>
    <phoneticPr fontId="1" type="noConversion"/>
  </si>
  <si>
    <t>基督教价值驱动，致力于全球南方可持续发展和社会正义
品牌项目包括：
全球南方发展合作资助（长期项目资金）
“气候正义”项目（特别关注非洲与亚洲受气候影响群体）
推动公平贸易、公民社会能力建设
长期关注粮食主权、生态农业、妇女赋权等议题</t>
    <phoneticPr fontId="1" type="noConversion"/>
  </si>
  <si>
    <t>暂无在华注册代表处
曾通过与中国宗教团体（如中国基督教协会）或部分社会组织开展交流合作
部分项目或访问可能通过区域合作平台（如亚洲教会理事会）间接展开</t>
    <phoneticPr fontId="1" type="noConversion"/>
  </si>
  <si>
    <t>曾有合作 
(Past Cooperation)</t>
  </si>
  <si>
    <t>德国粮惠世界与中国民促会的合作涵盖教育、能力建设、性别议题、能源转型等多个领域，通过长期资助与项目支持，推动了中国社会组织的发展及国际民间组织间的交流。这些合作不仅提升了中国社会组织的专业化水平，也促进了中德在环保、社会政策等领域的深度互动。</t>
    <phoneticPr fontId="1" type="noConversion"/>
  </si>
  <si>
    <t>德国环境与自然保护联盟</t>
    <phoneticPr fontId="1" type="noConversion"/>
  </si>
  <si>
    <t>柏林（Berlin）</t>
  </si>
  <si>
    <t>BUND 是德国最大的环保组织之一，致力于推动气候正义、能源转型、生物多样性保护、生态农业、可持续交通及环境政策改革。其工作包括政策倡导、公众教育、科学研究和基层动员，是国际环保网络“地球之友”在德国的成员。</t>
    <phoneticPr fontId="1" type="noConversion"/>
  </si>
  <si>
    <t>德国全境（含联邦及各州）
欧盟成员国（特别是在气候与农业政策方面的倡导）</t>
    <phoneticPr fontId="1" type="noConversion"/>
  </si>
  <si>
    <t>东欧、非洲、亚洲</t>
    <phoneticPr fontId="1" type="noConversion"/>
  </si>
  <si>
    <t>健康与公共卫生 
(Health &amp; Public Health)</t>
  </si>
  <si>
    <t>主席（Chairman）</t>
    <phoneticPr fontId="1" type="noConversion"/>
  </si>
  <si>
    <t>Friends of the Earth International（国际地球之友）
Climate Action Network（CAN）
VENRO（德国发展与人道主义NGO联盟）</t>
    <phoneticPr fontId="1" type="noConversion"/>
  </si>
  <si>
    <t>德国最大环保NGO之一，专注于气候与能源、农业、交通、生态保护等。强调草根参与与政策倡导并重；有超过60万成员；重视联邦和地方双轨运营</t>
    <phoneticPr fontId="1" type="noConversion"/>
  </si>
  <si>
    <t>暂无在华注册代表处
曾在UNFCCC等多边机制中与中国组织有会议层面交流；曾参与欧盟对华环保政策研讨</t>
    <phoneticPr fontId="1" type="noConversion"/>
  </si>
  <si>
    <t>国际气候行动网络</t>
    <phoneticPr fontId="1" type="noConversion"/>
  </si>
  <si>
    <t>波恩（Bonn）</t>
  </si>
  <si>
    <t>是（全球多个区域）</t>
    <phoneticPr fontId="1" type="noConversion"/>
  </si>
  <si>
    <t>Climate Action Network International (CAN-I) 是全球最大的气候行动网络组织，拥有超过190个成员组织，覆盖130多个国家。CAN-I 致力于推动全球应对气候变化的政策进程，主要通过信息协调、能力建设、政策倡导和联合行动，影响联合国气候谈判（UNFCCC）及相关全球机制。总部设于德国波恩，在南非、黎巴嫩、菲律宾等地设有区域节点。</t>
    <phoneticPr fontId="1" type="noConversion"/>
  </si>
  <si>
    <t>全球，特别是在气候高风险地区（南亚、非洲、东南亚）</t>
    <phoneticPr fontId="1" type="noConversion"/>
  </si>
  <si>
    <t xml:space="preserve">	欧洲、拉丁美洲、东亚</t>
    <phoneticPr fontId="1" type="noConversion"/>
  </si>
  <si>
    <t>咨询/研究机构 
(Research &amp; Consulting Organization)</t>
  </si>
  <si>
    <t>可持续发展目标推进 
(SDG Integration)</t>
  </si>
  <si>
    <t>UNFCCC观察员组织网络（Observer Organization under UNFCCC）
Global Stocktake (GST) civil society platform
联合国大气污染与气候协调组织（CCAC）民间参与机制成员
TAP Network（透明、问责与参与网络）合作伙伴
与Forus、Climate Action Tracker、WWF等全球气候政策平台有协作关系</t>
    <phoneticPr fontId="1" type="noConversion"/>
  </si>
  <si>
    <t>全球最大气候行动网络之一，聚焦全球南方参与与倡导能力提升；
设有多个区域协调网络（Regional Nodes），包括 CAN Arab World、CAN South East Asia、CAN Latin America 等，具有去中心化协调机制；
具有独立的政策工作组体系（例如气候金融、减缓、公平转型等）；
在 UNFCCC 谈判期间常组织联合信件、新闻发布、青年倡导活动</t>
    <phoneticPr fontId="1" type="noConversion"/>
  </si>
  <si>
    <t>暂无在华注册代表处
不过在中国有间接影响路径，包括：
多次在联合国气候谈判（COP）平台上，与中国社会组织（如中华环保联合会、SEE基金会、CANGO等）共同参与对话和活动
中国民间网络 CCAN（Civil Climate Action Network） 曾参与CAN-I主导的气候倡导联署及会议</t>
    <phoneticPr fontId="1" type="noConversion"/>
  </si>
  <si>
    <t>正在合作 
(Active Cooperation)</t>
  </si>
  <si>
    <t>CANGO为其会员机构之一，参与CAN年会、UNFCCC进程协调、气候倡导信件联署等</t>
    <phoneticPr fontId="1" type="noConversion"/>
  </si>
  <si>
    <t>德国明爱组织</t>
    <phoneticPr fontId="1" type="noConversion"/>
  </si>
  <si>
    <t>弗莱堡（Freiburg）</t>
    <phoneticPr fontId="1" type="noConversion"/>
  </si>
  <si>
    <t>是（超过160个国家有合作伙伴）</t>
    <phoneticPr fontId="1" type="noConversion"/>
  </si>
  <si>
    <t>Caritas Germany 是德国天主教会的官方发展援助与社会服务组织，隶属于德国主教团。其国际合作部专注于全球减贫、应对灾害、移民援助、社会融合、可持续发展等工作，通过全球 Caritas 网络，与全球多个国家合作，推动以人本为核心的社会正义与可持续发展。</t>
    <phoneticPr fontId="1" type="noConversion"/>
  </si>
  <si>
    <t>全球南方国家（非洲、亚洲、拉美）、中东地区</t>
    <phoneticPr fontId="1" type="noConversion"/>
  </si>
  <si>
    <t>欧洲、东欧、地中海沿岸</t>
    <phoneticPr fontId="1" type="noConversion"/>
  </si>
  <si>
    <t>宗教组织 
(Faith-Based Organization)</t>
  </si>
  <si>
    <t>资助型机构 
(Funding Organization)</t>
  </si>
  <si>
    <t>灾害风险与人道援助 
(Humanitarian Aid &amp; Disaster Risk Reduction)</t>
  </si>
  <si>
    <t>性别平等与多样性 
(Gender Equality &amp; Diversity)</t>
  </si>
  <si>
    <t>Caritas Internationalis（国际明爱组织，总部设于梵蒂冈）
ACT Alliance（行动教会联盟）</t>
    <phoneticPr fontId="1" type="noConversion"/>
  </si>
  <si>
    <t>Caritas Germany 是全球 Caritas 网络中规模最大的成员之一，拥有超过60年的国际发展与紧急援助经验。重点项目包括灾害应急援助、心理社会支持、人道走廊援助（Humanitarian Corridors）、难民安置与社会融合等。强调“以人为本、赋权和尊严”的宗教价值观驱动。</t>
    <phoneticPr fontId="1" type="noConversion"/>
  </si>
  <si>
    <t>暂无在华注册代表处
曾与部分中国宗教团体、慈善组织、国际救援平台有交流，主要在多边机制（如ACT Alliance）中有间接互动。</t>
    <phoneticPr fontId="1" type="noConversion"/>
  </si>
  <si>
    <t>国际防盲治盲组织</t>
    <phoneticPr fontId="1" type="noConversion"/>
  </si>
  <si>
    <t>1908（原始机构成立于德国，2008年重组为CBM International）</t>
    <phoneticPr fontId="1" type="noConversion"/>
  </si>
  <si>
    <t>本斯海姆（Bensheim）</t>
    <phoneticPr fontId="1" type="noConversion"/>
  </si>
  <si>
    <t xml:space="preserve">	是（在非洲、亚洲、拉美等数十国设有办事处或合作代表处）</t>
    <phoneticPr fontId="1" type="noConversion"/>
  </si>
  <si>
    <t xml:space="preserve">	CBM 是一家致力于残障人士权利与包容性发展的国际性组织，起源于德国的基督教防盲运动。其使命是通过提供医疗支持、包容性教育、经济赋权、灾害中的无障碍应对等项目，改善全球南方残障群体的生活质量，强调“残障融入发展”的理念。</t>
    <phoneticPr fontId="1" type="noConversion"/>
  </si>
  <si>
    <t>撒哈拉以南非洲、南亚、东南亚</t>
    <phoneticPr fontId="1" type="noConversion"/>
  </si>
  <si>
    <t>拉丁美洲、东欧部分国家</t>
    <phoneticPr fontId="1" type="noConversion"/>
  </si>
  <si>
    <t>教育与能力建设 
(Education &amp; Capacity Building)</t>
  </si>
  <si>
    <t>CBM 拥有逾100年历史，重视融合残障议题于发展战略中。其 “Vision 2020” 防盲项目、“Inclusive Eye Health” 项目、灾害包容性响应（Disability-inclusive emergency response）模式广泛应用于联合国和国际发展领域。长期与教会组织、WHO 等合作。</t>
    <phoneticPr fontId="1" type="noConversion"/>
  </si>
  <si>
    <t>暂无在华注册代表处
曾资助中国地方性眼健康项目并与部分医学/公益机构有合作，如与云南省眼科医院在防盲项目中有过协作，亦在UN场合与中方组织有互动记录。</t>
    <phoneticPr fontId="1" type="noConversion"/>
  </si>
  <si>
    <t>德国国际交流中心</t>
    <phoneticPr fontId="1" type="noConversion"/>
  </si>
  <si>
    <t>法兰克福（Frankfurt am Main）</t>
    <phoneticPr fontId="1" type="noConversion"/>
  </si>
  <si>
    <t xml:space="preserve"> 是（主要通过德国发展合作伙伴国家政府系统派驻顾问）</t>
    <phoneticPr fontId="1" type="noConversion"/>
  </si>
  <si>
    <t>CIM 是由德国国际合作机构（GIZ）与德国联邦就业署（BA）联合成立的机构，致力于通过人才合作推动发展中国家与新兴经济体的可持续发展。CIM主要项目包括“发展中国家专业人士回流支持”、“国际专家派遣计划”、“移民与发展”以及“公共部门咨询”，重点支持双向人才流动与知识转移。</t>
    <phoneticPr fontId="1" type="noConversion"/>
  </si>
  <si>
    <t>非洲、亚洲、拉丁美洲、中东欧</t>
    <phoneticPr fontId="1" type="noConversion"/>
  </si>
  <si>
    <t>中东与北非（MENA）地区</t>
    <phoneticPr fontId="1" type="noConversion"/>
  </si>
  <si>
    <t>政府背景机构 
(Government-Affiliated Organization)</t>
  </si>
  <si>
    <t>数字技术与治理创新 
(Digital Technology &amp; Governance Innovation)</t>
  </si>
  <si>
    <t>European Network on Migration and Development
与OECD Development Centre 和 IOM 建立合作机制</t>
    <phoneticPr fontId="1" type="noConversion"/>
  </si>
  <si>
    <t>CIM作为德国政府对外人才合作与发展援助平台，以“迁移促进发展”为核心理念，推动专业人才“南北互动”。其代表项目包括“Returning Experts Programme”（支持侨民人才回国服务）、“Integrated Experts”（为发展中国家公共部门配备德国专家）、以及“Diaspora2030”行动计划。强调“知识转移与制度建设”并重。</t>
    <phoneticPr fontId="1" type="noConversion"/>
  </si>
  <si>
    <t>暂无在华注册代表处
曾通过GIZ参与与中方高校、智库开展国际人才交流项目，间接参与中国职业教育发展项目等。</t>
    <phoneticPr fontId="1" type="noConversion"/>
  </si>
  <si>
    <t xml:space="preserve"> 德国基督教社会服务会</t>
    <phoneticPr fontId="1" type="noConversion"/>
  </si>
  <si>
    <t>1848（全国联合体系形成于1957年）</t>
    <phoneticPr fontId="1" type="noConversion"/>
  </si>
  <si>
    <t>柏林（Berlin）</t>
    <phoneticPr fontId="1" type="noConversion"/>
  </si>
  <si>
    <t xml:space="preserve"> 是（通过德国福音教会和其发展部门在发展中国家设有合作代表）</t>
    <phoneticPr fontId="1" type="noConversion"/>
  </si>
  <si>
    <t>Diakonisches Werk 是德国福音教会（EKD）旗下最大社会服务网络，覆盖医疗、养老、残障、移民、青少年福利、心理健康等多个社会领域。其国际合作工作通过 Diakonie Katastrophenhilfe（灾害援助部门）和 Brot für die Welt（发展合作部门）推进，参与全球人道救援与发展倡导。</t>
    <phoneticPr fontId="1" type="noConversion"/>
  </si>
  <si>
    <t>非洲、拉丁美洲、亚洲部分国家</t>
    <phoneticPr fontId="1" type="noConversion"/>
  </si>
  <si>
    <t>欧洲边缘地区、中东难民项目</t>
    <phoneticPr fontId="1" type="noConversion"/>
  </si>
  <si>
    <t>ACT Alliance（行动教会联盟）
EU-CORD（欧洲基督教发展网络）
与德国 Brot für die Welt、Caritas 等组成教会发展合作共同体</t>
    <phoneticPr fontId="1" type="noConversion"/>
  </si>
  <si>
    <t>Diakonie 是德国最具代表性的教会社会服务系统，旗下的 Diakonie Katastrophenhilfe 专注于应对突发灾害与紧急援助，而发展合作则由 Brot für die Welt 执行。强调“信仰驱动服务”和“全生命周期社会支持”。在欧洲养老、心理健康、家庭服务领域具有领先经验。</t>
    <phoneticPr fontId="1" type="noConversion"/>
  </si>
  <si>
    <t>暂无在华注册代表处
过去曾有代表团访华并与中国宗教慈善组织互动，主要为交流性质，暂无具体合作项目记录。</t>
    <phoneticPr fontId="1" type="noConversion"/>
  </si>
  <si>
    <t>正常运营，法律注册状态为有效，属德国福音教会（EKD）体系，在德国及国际领域保持活跃。</t>
    <phoneticPr fontId="1" type="noConversion"/>
  </si>
  <si>
    <t>德国基督教发展服务社</t>
  </si>
  <si>
    <t>否（项目合作覆盖全球，常与南方合作组织联合实施）</t>
    <phoneticPr fontId="1" type="noConversion"/>
  </si>
  <si>
    <t>EED 原为德国福音教会（EKD）设立的官方发展援助机构，聚焦可持续发展、贫困消除、社会正义、人权与性别平等等议题。其项目以南方国家合作为主，涵盖教育、农业发展、气候适应等领域，资助教会或世俗组织开展社区发展项目。</t>
  </si>
  <si>
    <t>拉丁美洲、中东欧</t>
    <phoneticPr fontId="1" type="noConversion"/>
  </si>
  <si>
    <t>无官方单一负责人（后续由 Brot für die Welt 整体接管）</t>
    <phoneticPr fontId="1" type="noConversion"/>
  </si>
  <si>
    <t>ACT Alliance（行动教会联盟）
欧盟发展合作教会网络（通过Brot für die Welt继续参与）</t>
    <phoneticPr fontId="1" type="noConversion"/>
  </si>
  <si>
    <t>EED 于2012年正式并入德国“世界粮惠组织”（Brot für die Welt），成为其发展合作部门核心组成部分。原品牌不再单独使用，但其理念、资金机制与项目继续保留，并在 Brot 体系中延续。强调“以公义为导向的教会发展合作”。</t>
    <phoneticPr fontId="1" type="noConversion"/>
  </si>
  <si>
    <t>暂无在华注册代表处
历史上曾通过宗教或慈善团体渠道间接与中国组织接触，未见明确在华项目痕迹。</t>
    <phoneticPr fontId="1" type="noConversion"/>
  </si>
  <si>
    <t>已于2012年并入 Brot für die Welt，原机构品牌不再独立存在，但其职能与项目在新架构内继续运作，视为“并入重组型正常存续”。</t>
    <phoneticPr fontId="1" type="noConversion"/>
  </si>
  <si>
    <t>德国基督教发展援助中心</t>
  </si>
  <si>
    <t>否（主要通过教会发展网络及南方合作伙伴执行）</t>
    <phoneticPr fontId="1" type="noConversion"/>
  </si>
  <si>
    <t>EZE 是德国福音教会系统早期设立的官方发展合作机构，聚焦贫困国家的教育、卫生、农业、社会正义等议题，通过资助南方教会及非教会组织开展发展项目。EZE 为后来的 EED（德国基督教发展服务社）前身机构，其理念、机制在 EED 及后续的 Brot für die Welt 中延续保留。</t>
  </si>
  <si>
    <t>非洲、拉美、南亚</t>
    <phoneticPr fontId="1" type="noConversion"/>
  </si>
  <si>
    <t>东南亚、东欧</t>
    <phoneticPr fontId="1" type="noConversion"/>
  </si>
  <si>
    <t>EZE 为德国福音教会最早的对外发展合作资助机制，强调“以信仰驱动社会正义”。其品牌已于1999年整合进入 EED，随后又于2012年整体并入 Brot für die Welt。目前仅作为历史机构被提及，不再单独开展业务或设有职能部门。</t>
    <phoneticPr fontId="1" type="noConversion"/>
  </si>
  <si>
    <t>已于1999年并入 EED，并最终于2012年随同 EED 一并整合入 Brot für die Welt。现不再作为独立机构存在，属于“历史整合型，已注销”。</t>
    <phoneticPr fontId="1" type="noConversion"/>
  </si>
  <si>
    <t>德国联邦经济合作与发展部</t>
  </si>
  <si>
    <t>波恩（Bonn）
柏林（Berlin）</t>
    <phoneticPr fontId="1" type="noConversion"/>
  </si>
  <si>
    <t>是（通过驻外使馆设有发展事务专员或与GIZ合作派驻代表）</t>
  </si>
  <si>
    <t>BMZ 是德国联邦政府负责对外发展合作事务的主管部门，负责制定德国的发展合作战略、分配援助预算，并指导执行机构（如 GIZ、KfW、CIM）在全球开展可持续发展、气候治理、教育、健康、人权、性别平等等领域的项目。BMZ 是OECD DAC主要国家发展机构之一，资金规模位居全球前列。</t>
  </si>
  <si>
    <t>非洲、亚洲、拉丁美洲、中东欧</t>
  </si>
  <si>
    <t>中东、全球治理机制</t>
  </si>
  <si>
    <t>政策制定与监督机构（政府部委属性）</t>
  </si>
  <si>
    <t>德国联邦经济合作与发展部部长</t>
  </si>
  <si>
    <t>OECD Development Assistance Committee (DAC)
GPEDC（全球发展合作有效性平台）
国际气候倡议（IKI）资助机制发起单位
G7/G20发展工作组
与UNDP、世界银行、欧盟发展部门有常设合作机制</t>
    <phoneticPr fontId="1" type="noConversion"/>
  </si>
  <si>
    <t>BMZ 是德国发展援助体系的核心机构，发起并主导多个具有全球影响力的资助机制，如 IKI（国际气候倡议）、“One World – No Hunger”、数字发展倡议等。通过多边与双边路径进行资助管理，强调“公平伙伴关系”、“发展合作的新愿景”和“全球公民社会参与”。</t>
    <phoneticPr fontId="1" type="noConversion"/>
  </si>
  <si>
    <t>暂无在华注册代表处
通过德国驻华使馆发展处、GIZ北京代表处等形式在华进行政策交流与合作项目资助，并通过IKI等机制支持中国气候与可持续发展项目。</t>
    <phoneticPr fontId="1" type="noConversion"/>
  </si>
  <si>
    <t>正常运营，为德国联邦政府核心组成部委之一，活跃于全球发展援助体系。</t>
    <phoneticPr fontId="1" type="noConversion"/>
  </si>
  <si>
    <t>BMU（现为 BMUV，自2021年起扩展为环境、自然保护、核安全与消费者保护部）</t>
  </si>
  <si>
    <t>德国联邦环境部</t>
  </si>
  <si>
    <t>否（通过GIZ、IKI项目执行机构在全球开展业务）</t>
  </si>
  <si>
    <t>BMUV（原BMU）是德国联邦政府主管环境、气候政策、生物多样性、核安全与消费者保护的核心部委。其国际合作职能以推动全球环境治理、支持多边环保机制、促进绿色转型为主。主要通过国际气候倡议（IKI）等平台，与发展中国家开展气候、生态与低碳发展合作项目。</t>
  </si>
  <si>
    <t>全球，包括非洲、亚洲、拉丁美洲的重点发展中国家</t>
  </si>
  <si>
    <t>欧洲内部政策协调、欧盟绿色治理机制</t>
  </si>
  <si>
    <t>政策制定与监管型（部长级政府部门）</t>
  </si>
  <si>
    <t>德国联邦环境部部长</t>
  </si>
  <si>
    <t>联合国环境规划署（UNEP）相关机制
联合国气候变化框架公约（UNFCCC）缔约方
国际自然保护联盟（IUCN）
IKI（国际气候倡议）发起与资助管理机构
欧盟环境理事会成员机构</t>
    <phoneticPr fontId="1" type="noConversion"/>
  </si>
  <si>
    <t>BMUV 通过 IKI 项目（International Climate Initiative）在全球资助上百个环境与气候项目，特别重视“自然为本解决方案（NbS）”“气候与生物多样性共益”“绿色金融”以及“适应与减缓协同机制”。IKI 是其旗舰型国际平台，对中国在气候合作中的项目资助尤其活跃。</t>
  </si>
  <si>
    <t>暂无在华注册代表处
主要通过 IKI 机制支持中国项目，由 GIZ、WWF、清华大学等项目方具体实施。</t>
    <phoneticPr fontId="1" type="noConversion"/>
  </si>
  <si>
    <t>正常运营，现以BMUV名义持续履行职能，是德国环境政策与国际气候治理体系中的关键政府机构。</t>
    <phoneticPr fontId="1" type="noConversion"/>
  </si>
  <si>
    <t>德国气候正义女性联盟</t>
  </si>
  <si>
    <t>是（在南非、印度、印度尼西亚、墨西哥等设有网络成员或行动节点）</t>
  </si>
  <si>
    <t>GenderCC 是一个致力于推动性别正义与气候政策融合的全球性网络组织，其秘书处设于德国柏林。通过研究、倡导、能力建设与政策参与，GenderCC 在全球气候治理进程（如UNFCCC）中倡导将性别维度纳入气候适应、减缓、融资、技术等关键议题，推动女性参与、边缘群体赋权与多元正义。</t>
  </si>
  <si>
    <t>全球南方国家（南非、印度、墨西哥等）、欧洲</t>
  </si>
  <si>
    <t>亚太地区（包括中国）与MENA地区</t>
  </si>
  <si>
    <t>联络协调官员（Network Coordinator）</t>
    <phoneticPr fontId="1" type="noConversion"/>
  </si>
  <si>
    <t>Women and Gender Constituency (UNFCCC 官方性别选区)
Climate Action Network (CAN)
Feminist Green New Deal 联盟
WEDO 等全球性别气候网络合作平台</t>
    <phoneticPr fontId="1" type="noConversion"/>
  </si>
  <si>
    <t>GenderCC 是联合国气候谈判中 “女性与性别”官方代表机制（WGC）的创始成员之一，拥有全球30多个国家的合作伙伴。其“Gender into Urban Climate Change Initiative (GUCCI)”、“Just Gender-Responsive Climate Policy”项目受到GIZ、IKI等资助。强调南方女性参与、社会公正与结构性倡导。</t>
  </si>
  <si>
    <t>暂无在华注册代表处
曾在清华大学、绿色创新发展中心等中国机构合作参与有关“城市与性别”跨国研究项目（如GUCCI项目），通过亚太合作平台与中方代表在UNFCCC场合交流密切。</t>
    <phoneticPr fontId="1" type="noConversion"/>
  </si>
  <si>
    <t xml:space="preserve">正常运营，活跃于UNFCCC与国际性别网络，德国本部与全球网络节点均保持活跃更新状态。
</t>
    <phoneticPr fontId="1" type="noConversion"/>
  </si>
  <si>
    <t>德国观察</t>
    <phoneticPr fontId="1" type="noConversion"/>
  </si>
  <si>
    <t>否（但有合作网络遍及全球）</t>
  </si>
  <si>
    <t>Germanwatch 是总部位于德国的非政府组织，致力于推动全球气候正义、可持续发展和企业责任。其主要工作方向包括：气候变化与发展、企业与人权、粮食安全、可持续金融等领域。该机构因其发布的“气候变化绩效指数（CCPI）”在全球政策圈具有广泛影响力，并活跃于 UNFCCC 等多边谈判平台。</t>
    <phoneticPr fontId="1" type="noConversion"/>
  </si>
  <si>
    <t>全球（包括全球南方国家与欧盟）</t>
  </si>
  <si>
    <t>亚洲（包括中国）、拉丁美洲、非洲</t>
  </si>
  <si>
    <t>Climate Action Network (CAN)
CONCORD Europe（欧洲发展NGO平台）
IKI资助项目合作伙伴网络
与Oxfam、WWF、HEKS等合作密切</t>
    <phoneticPr fontId="1" type="noConversion"/>
  </si>
  <si>
    <t>Germanwatch 是“气候变化绩效指数（CCPI）”的主编机构之一，每年联合国际伙伴评估全球国家气候行动表现，对政策制定影响深远。另长期参与 UNFCCC 谈判，并主导德国国内的公民社会倡导。其政策研究具有跨界、前瞻性特色，强调全球南方正义与跨国合作。</t>
    <phoneticPr fontId="1" type="noConversion"/>
  </si>
  <si>
    <t>暂无在华注册代表处
曾与中方智库（如能源基金会）就气候治理、低碳转型、碳市场等议题开展交流。CCPI评估涵盖中国并与中国学者/政策专家建立沟通机制。</t>
    <phoneticPr fontId="1" type="noConversion"/>
  </si>
  <si>
    <t>正常运营，活跃参与国际气候与发展政策网络，在研究、倡导和多边机制方面保持高影响力与高频参与度。</t>
    <phoneticPr fontId="1" type="noConversion"/>
  </si>
  <si>
    <t>GWC
(也称为German Women’s Ring）</t>
    <phoneticPr fontId="1" type="noConversion"/>
  </si>
  <si>
    <t>德国妇女联盟</t>
  </si>
  <si>
    <t>否（为德国国内性别平权协调平台，部分国际合作）</t>
  </si>
  <si>
    <t>German Women's Council 是德国历史悠久的国家级妇女组织联盟，致力于推动性别平等、妇女权益保护、公共政策参与以及可持续发展领域中的女性领导力。它汇聚了约40个德国各类妇女组织与专业机构，是联合国经社理事会（ECOSOC）认可的咨询地位组织，在德国与国际场合中积极代表德国妇女声音。</t>
    <phoneticPr fontId="1" type="noConversion"/>
  </si>
  <si>
    <t>德国国内，兼具国际性别网络参与</t>
  </si>
  <si>
    <t>欧洲及联合国平台</t>
  </si>
  <si>
    <t>International Alliance of Women (IAW)
ECOSOC联合国咨商地位组织
联合国CEDAW平台参与者
WECF合作成员网络</t>
    <phoneticPr fontId="1" type="noConversion"/>
  </si>
  <si>
    <t>GWC 拥有强烈的女权主义传统，重视妇女在政治、经济、教育等领域的结构性赋权，致力于多代女性权利对话。其在CEDAW（消除对妇女一切形式歧视公约）国别报告中有长期提交经验。推动“妇女与可持续发展”主流化，在德国绿色政策领域有建言影响。</t>
    <phoneticPr fontId="1" type="noConversion"/>
  </si>
  <si>
    <t>正常运营，网站更新正常，持续参与德国及联合国性别事务议程。</t>
    <phoneticPr fontId="1" type="noConversion"/>
  </si>
  <si>
    <t>德国世界饥饿援助</t>
    <phoneticPr fontId="1" type="noConversion"/>
  </si>
  <si>
    <t>是（在全球约35个国家有项目办公室和合作点）</t>
  </si>
  <si>
    <t>Welthungerhilfe 是德国最大的非政府发展援助机构之一，致力于消除全球饥饿与贫困。其重点领域包括：粮食安全、营养、可持续农业、生计改善、清洁饮水、气候适应、人道援助等。机构在全球危机和发展中地区支持中长期项目，推动社区主导型可持续发展。</t>
  </si>
  <si>
    <t>撒哈拉以南非洲、南亚、东南亚、拉丁美洲</t>
  </si>
  <si>
    <t>中东、东欧边缘地区</t>
  </si>
  <si>
    <t>Alliance2015（欧洲发展与人道援助联盟）
VENRO（德国发展与人道援助NGO联盟）
International Land Coalition (ILC)
SDG2 Advocacy Hub</t>
    <phoneticPr fontId="1" type="noConversion"/>
  </si>
  <si>
    <t>Welthungerhilfe 执行多项区域旗舰项目，如“绿色未来农场”计划、“全球饥饿指数”年度报告（与Concern Worldwide合作）、在尼泊尔、布基纳法索等地推动气候适应性农业与女性生计项目。强调“人道–发展–和平”三重纽带及社区主导治理框架。</t>
  </si>
  <si>
    <t>正常运营，为德国主流国际发展组织之一，财务与项目年度报告持续公开发布，活跃于全球南方。</t>
  </si>
  <si>
    <t>德国绿色联盟</t>
  </si>
  <si>
    <t>否（为德国国内草根网络型组织，参与部分国际生态运动网络）</t>
  </si>
  <si>
    <t>Grüne Liga 是德国统一后东部地区环保人士创建的生态运动网络，以推动环境保护、生态农业、水资源保护、能源转型与草根参与为核心议题。其活动注重地方动员与政策倡导结合，常与地方政府、学校、市民社群合作，在水资源保护、污染抗争、可再生能源等方面具有影响力。</t>
  </si>
  <si>
    <t>德国联邦各州（特别是东部）</t>
  </si>
  <si>
    <t>欧洲邻国/波罗的海跨境环保合作项目</t>
  </si>
  <si>
    <t>European Water Movement
Climate Justice Action
Friends of the Earth Germany（间接合作伙伴）
UNECE 水公约民间参与平台（观察员）</t>
    <phoneticPr fontId="1" type="noConversion"/>
  </si>
  <si>
    <t>Grüne Liga 以其“活水节”（Living Rivers Festival）、反污染草根联合行动、水法倡导活动著称。强调地方赋权、参与式治理与反对大型污染基础设施。其在生态农业与自然教育方面亦有活跃实践，尤其关注德国东部资源型城市的绿色转型议题。</t>
  </si>
  <si>
    <t>正常运营，为德国本土生态草根网络核心组成，组织架构稳定、活动定期开展、网站持续更新。</t>
  </si>
  <si>
    <t>德国技术合作公司北京代表处</t>
  </si>
  <si>
    <t>成立于1975年（GTZ，现已并入 GIZ），北京代表处成立时间可追溯至1980年代</t>
  </si>
  <si>
    <t>埃斯奇博恩（Eschborn）</t>
  </si>
  <si>
    <t>是（GIZ 在全球设有140余个国家办公室）</t>
  </si>
  <si>
    <t>GTZ（德国技术合作公司）曾是德国政府对外发展合作三大支柱机构之一，负责执行联邦经济合作与发展部（BMZ）资助项目，在环境治理、能源、城市可持续发展、经济转型、职业教育、社会治理等领域广泛开展国际合作。2011年，GTZ 与 InWEnt、DED 合并为 GIZ（德国国际合作机构）。</t>
  </si>
  <si>
    <t>全球（特别是与德国有政府合作协议的发展中国家）</t>
  </si>
  <si>
    <t>中国、印尼、埃塞俄比亚、秘鲁、约旦等重点合作国</t>
  </si>
  <si>
    <t>现为 GIZ CEO</t>
    <phoneticPr fontId="1" type="noConversion"/>
  </si>
  <si>
    <t>OECD DAC 执行合作机构
联合国开发系统合作平台
与 UNDP、世界银行、亚行等多边机构有执行合作协议
是 BMZ（德国经合部）主授权项目执行机构</t>
    <phoneticPr fontId="1" type="noConversion"/>
  </si>
  <si>
    <t>GTZ 在中国的主要代表机构后于2011年整体转为 GIZ Beijing Office，并在职业教育、低碳城市、绿色金融、循环经济等议题持续活跃。其工作强调“需求导向 + 政策咨询 + 实地执行”三位一体模式，是德国对华合作项目的关键桥梁机构。</t>
    <phoneticPr fontId="1" type="noConversion"/>
  </si>
  <si>
    <t>为德国联邦发展合作在中国的重要窗口，办公地点位于北京CBD三里屯德意志之家，常年开展项目执行、专家派遣、政策对话与能力建设项目。</t>
    <phoneticPr fontId="1" type="noConversion"/>
  </si>
  <si>
    <t>原 GTZ 已于2011年并入 GIZ，现以 GIZ 名义正常存续、运营活跃，是德国发展合作体系中执行主力。</t>
  </si>
  <si>
    <t>海因里希·伯尔基金会</t>
  </si>
  <si>
    <t>德国</t>
  </si>
  <si>
    <t>是（在全球60多个国家和地区设有代表处，包括亚洲、非洲、拉美）</t>
  </si>
  <si>
    <t>Heinrich Böll Foundation 是德国绿党系的政治基金会，致力于环境保护、性别平等、民主治理、人权、数字正义等领域的研究与倡导。其全球网络通过基金会代表处、研究项目与多边对话机制，推动绿色政策与公民社会发展，在联合国、欧盟与发展中国家政策议程中具高度参与度。</t>
    <phoneticPr fontId="1" type="noConversion"/>
  </si>
  <si>
    <t>欧洲、亚洲、非洲、拉美</t>
  </si>
  <si>
    <t>中东、东欧、全球治理体系</t>
  </si>
  <si>
    <t>基金会 / 慈善信托 
(Foundation / Charitable Trust)</t>
  </si>
  <si>
    <t>Green European Foundation (GEF)
OECD DAC Civil Society Dialogue
UNFCCC观察员组织
国际进步基金会网络（Progressive Alliance）
与WEDO、CAN等多边议题联盟合作紧密</t>
    <phoneticPr fontId="1" type="noConversion"/>
  </si>
  <si>
    <t>HBF 强调“绿色民主”框架，主张生态转型与社会公正并重，设有专门的性别、能源转型、全球数字化正义等研究项目。其“全球绿政年鉴”、亚洲绿色政治项目、区域青年倡导计划在全球议题传播中颇具影响力。</t>
  </si>
  <si>
    <t>正常运营，作为德国六大政治基金会之一，在全球绿色议题和政治研究领域具有高度活跃性和政策影响力。</t>
  </si>
  <si>
    <t>德国国际继续教育与发展协会</t>
  </si>
  <si>
    <t>2002（由DSE和CDG合并而成）</t>
    <phoneticPr fontId="1" type="noConversion"/>
  </si>
  <si>
    <t>是（曾在亚洲、非洲多国设有项目代表处）</t>
  </si>
  <si>
    <t>InWEnt 是一家致力于全球人力资源发展和国际能力建设的非营利机构，主要由德国联邦经济合作与发展部（BMZ）出资，聚焦南方国家高层决策者、管理者与专业人士的培训与知识交流。其业务涵盖全球学习网络、南南合作培训、国际政策对话平台搭建等。</t>
    <phoneticPr fontId="1" type="noConversion"/>
  </si>
  <si>
    <t>全球（特别是亚洲、非洲、拉美）</t>
  </si>
  <si>
    <t>欧洲邻国、南南对话平台</t>
  </si>
  <si>
    <t>官网已合并至 GIZ</t>
    <phoneticPr fontId="1" type="noConversion"/>
  </si>
  <si>
    <t>Global Campus 21
OECD–DAC 能力建设机制
曾与联合国教科文组织、亚行等组织合作开展培训平台</t>
    <phoneticPr fontId="1" type="noConversion"/>
  </si>
  <si>
    <t>InWEnt 在并入 GIZ 之前，拥有完整的高端人才培训与区域对话机制，运营包括“全球对话项目（Global Dialogue Programme）”、“领导力发展项目（Leadership for Global Responsibility）”等，强调“知识即发展”，广受南方国家政府与高校欢迎。</t>
  </si>
  <si>
    <t>已于2011年正式并入德国国际合作机构（GIZ），不再以 InWEnt 名义独立运作，现为“已整合重组型，职能存续”。</t>
  </si>
  <si>
    <t>阿登纳基金会</t>
  </si>
  <si>
    <t>是（全球约120个国家和地区设有代表处）</t>
  </si>
  <si>
    <t>阿登纳基金会是德国主要政治基金会之一，隶属基督教民主联盟（CDU），重点推动民主治理、法治、市场经济、社会融合、人权与环境保护等领域的国际交流、政策研究与能力建设。其国际部在发展中国家与新兴经济体支持公民社会发展、政治教育与青年赋权，并在德国与国际事务对接中扮演积极角色。</t>
  </si>
  <si>
    <t>全球，特别是亚洲、非洲、拉丁美洲、东欧</t>
  </si>
  <si>
    <t>中东、西亚、欧洲邻国</t>
  </si>
  <si>
    <t>人权与社会正义 
(Human Rights &amp; Social Justice)</t>
  </si>
  <si>
    <t>理事会主席</t>
  </si>
  <si>
    <t>欧洲民主基金会联盟（European Network of Political Foundations）
UN ECOSOC 咨询地位
欧洲政策研究联盟（EPIN）
与德国外交部、BMZ、德国联邦议会等保持长期合作关系</t>
    <phoneticPr fontId="1" type="noConversion"/>
  </si>
  <si>
    <t>KAS 拥有强大的国际网络，长期在政策对话、能力建设、选举民主与法治领域运营项目。其亚洲项目侧重国家治理、青年参与、数字民主、可持续发展。出版《国际报告》《亚洲政治趋势观察》等期刊，具较高政策影响力。</t>
    <phoneticPr fontId="1" type="noConversion"/>
  </si>
  <si>
    <t>设有北京代表处，注册名为“阿登纳基金会北京代表处”，在中国开展多领域对话与合作，聚焦法治、社会治理、城市可持续发展、数字治理、青年能力建设等议题，常与高校、智库、社会组织协作举办会议与出版项目。</t>
    <phoneticPr fontId="1" type="noConversion"/>
  </si>
  <si>
    <t>正常运营，属德国六大政治基金会之一，在全球活跃度高，代表处运营状态正常。</t>
    <phoneticPr fontId="1" type="noConversion"/>
  </si>
  <si>
    <t>德国米苏尔基金会</t>
  </si>
  <si>
    <t>亚琛（Aachen）</t>
  </si>
  <si>
    <t>否（主要通过合作伙伴开展项目）</t>
  </si>
  <si>
    <t>MISEREOR 是德国天主教会下属的国际发展援助机构，以“反对贫困、促进正义”为宗旨，专注于支持全球南方国家的社会正义与可持续发展项目。其资助领域涵盖气候正义、粮食主权、人权、妇女赋权、教育、基础卫生、社区发展等，通过长期与本地社会组织合作，提供资金、能力建设和政策倡导支持。</t>
  </si>
  <si>
    <t>撒哈拉以南非洲、亚洲、拉丁美洲</t>
  </si>
  <si>
    <t>中东、东欧、加勒比地区</t>
  </si>
  <si>
    <t>执行董事（General Director）</t>
  </si>
  <si>
    <t>CIDSE（国际天主教发展机构合作网络）
ACT Alliance（行动教会联合会）
CONCORD Europe（欧洲发展NGO平台）
VENRO（德国发展政策与人道主义援助非政府组织联盟）</t>
    <phoneticPr fontId="1" type="noConversion"/>
  </si>
  <si>
    <t>MISEREOR 以其“Fastenaktion”（封斋行动）公益募捐活动著称；每年支持全球数百个南方国家本地组织的社会公正与生态项目；注重赋能式发展、跨宗教合作与系统性变革；强调以信仰为基础的可持续行动。</t>
  </si>
  <si>
    <t>正常运营，为德国最具影响力的宗教发展机构之一，活跃于全球发展合作领域。</t>
  </si>
  <si>
    <t>德国国家妇女组织委员会</t>
  </si>
  <si>
    <t>该委员会是德国最大的女性权益组织联盟，由60多个全国性女性协会和混合性别组织组成，覆盖约1100万名成员。其使命是通过政治倡导、法律改革和社会参与，推动性别平等和女性赋权。代表德国女性在联合国妇女地位委员会等国际场合发声，并参与欧盟、德国联邦及地方议题的政策制定过程。</t>
  </si>
  <si>
    <t>德国、欧盟</t>
  </si>
  <si>
    <t>联合国机制及国际妇女网络</t>
  </si>
  <si>
    <t>主席（President）</t>
  </si>
  <si>
    <t>欧洲妇女联盟（European Women’s Lobby, EWL）
联合国妇女地位委员会（CSW）观察员
CEDAW Shadow Report 编制参与组织
德国性别平等议题跨党派平台成员</t>
    <phoneticPr fontId="1" type="noConversion"/>
  </si>
  <si>
    <t>该组织具有强大的政策游说能力，是德国妇女事务法案、性别预算、公平工资等改革议题的重要推动力量。每年举办“德国妇女大会”，并通过出版、网络研讨会、政策立场声明等形式进行倡导。</t>
  </si>
  <si>
    <t>正常运营，2024年仍为EWL和CSW等机构的代表组织，持续发布政策文件与媒体声音。</t>
  </si>
  <si>
    <t>德国公民社会全国网络</t>
  </si>
  <si>
    <t>德国公民社会全国网络（BBE）是一个全国性多方协作平台，旨在推动民主参与、公民社会发展与志愿服务。其成员涵盖非政府组织、基金会、宗教团体、企业、政府部门及学术界，致力于加强社会参与、公共政策对话和公民赋权。BBE 亦代表德国参与欧盟层面的公民社会网络。</t>
  </si>
  <si>
    <t>德国全国</t>
  </si>
  <si>
    <t>欧盟成员国（参与政策倡导与交流）</t>
  </si>
  <si>
    <t>总干事（Managing Director）</t>
  </si>
  <si>
    <t>EESC（European Economic and Social Committee，欧洲经济与社会委员会）
ECF（European Civic Forum，欧洲公民论坛）</t>
    <phoneticPr fontId="1" type="noConversion"/>
  </si>
  <si>
    <t>BBE 每两年主办“德国公民社会大会”；运营国家志愿服务协调机制；发布《BBE 公民社会通讯》；具较强政策游说能力，在德国志愿服务与非营利法制改革中扮演关键角色。</t>
  </si>
  <si>
    <t>正常运营，2024年持续活跃，官网保持定期更新，继续主办公民社会大会等核心活动。</t>
  </si>
  <si>
    <t>德国权力转移研究中心</t>
  </si>
  <si>
    <t>PowerShift 是一家位于柏林的独立非营利组织，专注于对全球贸易、资源开采、能源转型和原材料政策的批判性研究与政策倡导。致力于推动公平、生态可持续和民主参与的经济体系，强调对全球南方不平等结构的反思与干预。其研究成果常被欧盟和德国政府部门、媒体与国际组织引用。</t>
  </si>
  <si>
    <t>欧洲（以德国为核心）</t>
  </si>
  <si>
    <t>全球南方国家（资源、供应链等研究对象）</t>
  </si>
  <si>
    <t>原材料政策项目协调人</t>
  </si>
  <si>
    <t>AK Rohstoffe（德国原材料工作组）
European Environmental Bureau (EEB)
AK Rohstoffe：德国原材料正义倡导平台，聚焦矿产资源与供应链正义
EEB：欧洲最大环保NGO联盟，专注环境政策倡导</t>
    <phoneticPr fontId="1" type="noConversion"/>
  </si>
  <si>
    <t>其标志性研究包括关于“对外资源政策”、“全球南方采矿正义”与“供应链法”的政策影响评估；出版《资源通讯》、开展政策圆桌与公众教育活动，在能源与资源议题中具备较高影响力。</t>
  </si>
  <si>
    <t>正常运营，2024年仍持续发布研究报告、举办活动、参与欧盟绿色新政相关政策评估。</t>
    <phoneticPr fontId="1" type="noConversion"/>
  </si>
  <si>
    <t>德国罗伯特·博世基金会</t>
  </si>
  <si>
    <t>斯图加特（Stuttgart）</t>
  </si>
  <si>
    <t>罗伯特·博世基金会是德国最具影响力的私人慈善基金会之一，聚焦健康、公平教育、和平可持续社会等议题。通过资助、政策研究、跨国交流与能力建设项目推动社会变革。其前身为博世家族创立的公司基金，现作为独立机构运作，资助范围覆盖德国与全球多个国家，强调系统性变革与社会创新。</t>
  </si>
  <si>
    <t>德国、欧洲</t>
  </si>
  <si>
    <t>全球（含非洲、亚洲部分国家）</t>
  </si>
  <si>
    <t>European Foundation Centre (EFC)
Network of European Foundations (NEF)
EFC：欧洲基金会合作网络，促进战略资助合作与治理研究
NEF：跨国基金会项目协作平台，支持公共利益议题的多边合作</t>
    <phoneticPr fontId="1" type="noConversion"/>
  </si>
  <si>
    <t>著名项目包括“Robert Bosch Academy”（全球学者交流）、“BridgeBuilder”（与美基金会合作）、“Perspektive Deutschland”等。</t>
    <phoneticPr fontId="1" type="noConversion"/>
  </si>
  <si>
    <t>正常运营，2024年继续资助多项跨国合作计划，年报持续发布、官网活动频繁更新。</t>
  </si>
  <si>
    <t>德国罗莎·卢森堡基金会</t>
  </si>
  <si>
    <t>罗莎·卢森堡基金会是德国左翼党（Die Linke）下属的政治基金会之一，致力于民主社会主义理念的传播与全球社会正义的推动。其业务包括政治教育、国际合作、研究出版与全球交流，在全球设有20多个代表处，重点支持南方国家的社会运动、公民社会建设与性别平等倡导。</t>
  </si>
  <si>
    <t>欧洲、拉美、非洲、亚洲部分国家</t>
  </si>
  <si>
    <t>全球南方（Global South）</t>
  </si>
  <si>
    <t>混合型机构 
(Hybrid Organization)</t>
  </si>
  <si>
    <t>Transnational Institute (TNI)
International Progressive Network
TNI：全球进步学者与政策倡导机构联盟，强调替代发展路径与气候正义
IPN：以进步价值观为基础的跨国网络，促进全球南北对话与策略协同</t>
    <phoneticPr fontId="1" type="noConversion"/>
  </si>
  <si>
    <t>具有鲜明左翼立场，支持基层运动、性别正义、政治参与。
在非洲、东欧与拉美的代表处具高影响力，长期支持土地权利、民主治理、跨国女性运动。
出版《变革的未来》与《全球视角》等政治教育刊物。</t>
    <phoneticPr fontId="1" type="noConversion"/>
  </si>
  <si>
    <t>正常运营，2024年继续运营其全球代表处，并发布多份研究出版物。</t>
    <phoneticPr fontId="1" type="noConversion"/>
  </si>
  <si>
    <t>德国亚洲之家基金会</t>
    <phoneticPr fontId="1" type="noConversion"/>
  </si>
  <si>
    <t>科隆（Cologne）</t>
  </si>
  <si>
    <t>Stiftung Asienhaus 是一家致力于促进德国与亚洲之间公民社会交流的非营利机构。其关注议题包括人权、可持续发展、环境保护、性别平等与全球公民责任。通过研究、出版物、公民教育活动与南北对话项目，加强欧洲社会对亚洲社会政治问题的理解，尤其关注中国、东南亚与南亚国家的发展动态。</t>
  </si>
  <si>
    <t>亚洲（中国、东南亚、南亚）</t>
  </si>
  <si>
    <t>欧洲（德国及欧盟其他国家）</t>
  </si>
  <si>
    <t>董事会主席</t>
  </si>
  <si>
    <t>VENRO（德国发展与人道援助NGO联盟）
Asia Europe People’s Forum (AEPF)
VENRO：德国非政府组织发展政策与援助平台
AEPF：亚欧社会组织对话机制，致力于推动可持续、包容性区域合作</t>
    <phoneticPr fontId="1" type="noConversion"/>
  </si>
  <si>
    <t>旗下拥有多个专题平台，如“China Program”、“Philippinenbüro”。
出版《Asienhaus Briefing》等系列材料。
长期推动德国社会对中国公民社会的理解，涉及性别、环境、劳工、数字权利等维度。</t>
    <phoneticPr fontId="1" type="noConversion"/>
  </si>
  <si>
    <t>正常运营，2024年继续发布研究报告并举办与亚洲国家相关的多场公民社会活动。</t>
    <phoneticPr fontId="1" type="noConversion"/>
  </si>
  <si>
    <t>德国墨卡托基金会</t>
  </si>
  <si>
    <t>埃森（Essen）</t>
  </si>
  <si>
    <t>是（曾在中国北京设有“墨卡托中国项目”办公室，现已转为与本地机构合作）</t>
    <phoneticPr fontId="1" type="noConversion"/>
  </si>
  <si>
    <t>德国墨卡托基金会是一家注重欧洲与全球之间跨文化理解与可持续发展议题的私人基金会，聚焦领域包括气候变化、数字社会、教育平等与中国/欧中关系。以项目资助、研究合作和政策倡导为主要方式，曾发起Mercator Institute for China Studies (MERICS) 并在气候治理与中欧交流领域有重要影响。</t>
    <phoneticPr fontId="1" type="noConversion"/>
  </si>
  <si>
    <t>欧洲、中国</t>
    <phoneticPr fontId="1" type="noConversion"/>
  </si>
  <si>
    <t>亚洲其他国家、全球气候网络</t>
    <phoneticPr fontId="1" type="noConversion"/>
  </si>
  <si>
    <t>董事总经理</t>
  </si>
  <si>
    <t>European Climate Foundation (ECF)
Mercator European Dialogue
ECF：欧洲气候基金会，致力于欧洲及全球的气候倡导与多边合作
Mercator European Dialogue：促进欧洲议会议员及政策对话的跨国交流平台</t>
    <phoneticPr fontId="1" type="noConversion"/>
  </si>
  <si>
    <t>资助并设立了全球知名智库 MERICS（墨卡托中国研究中心）
“气候变化”是核心资助主题之一，支持绿色经济、城市气候行动等
支持中欧青年交流与教育公平倡议项目
鼓励数字化转型中对民主与公共利益的保护</t>
    <phoneticPr fontId="1" type="noConversion"/>
  </si>
  <si>
    <t>暂无在华注册代表处。
曾在北京设立“Mercator China Office”，后转由合作机构 MERICS、Beijing Office of Dialogue &amp; Research 支持对华研究。现通过中方学术/研究合作实现部分项目落地。</t>
    <phoneticPr fontId="1" type="noConversion"/>
  </si>
  <si>
    <t>正常运营，2024年仍持续资助多项对华研究及欧洲气候创新项目。</t>
    <phoneticPr fontId="1" type="noConversion"/>
  </si>
  <si>
    <t xml:space="preserve"> 德国森林幼儿园（泛指体系）</t>
    <phoneticPr fontId="1" type="noConversion"/>
  </si>
  <si>
    <t xml:space="preserve"> 起源于1950年代，广泛推广于1990年代至今</t>
    <phoneticPr fontId="1" type="noConversion"/>
  </si>
  <si>
    <t>无统一总部，分布于各州市（代表性组织如：Bundesverband der Natur- und Waldkindergärten, Sitz in Freiburg 弗赖堡）</t>
    <phoneticPr fontId="1" type="noConversion"/>
  </si>
  <si>
    <t xml:space="preserve"> 是（森林幼儿园教育模式已推广至欧洲多国、日本、韩国等）</t>
    <phoneticPr fontId="1" type="noConversion"/>
  </si>
  <si>
    <t>“Waldkindergarten”（森林幼儿园）是一种以户外自然为基础教育环境的儿童早教模式，强调生态体验、自由探索与身体发展。在德国由数百个地方幼儿园组成，部分形成区域网络，由 Bundesverband der Natur- und Waldkindergärten e.V.（德国自然与森林幼儿园联邦协会）协调。该协会提供师资培训、标准制定、政策倡导等服务。</t>
    <phoneticPr fontId="1" type="noConversion"/>
  </si>
  <si>
    <t xml:space="preserve"> 德国各州及欧盟国家</t>
    <phoneticPr fontId="1" type="noConversion"/>
  </si>
  <si>
    <t xml:space="preserve"> 东亚（如日本）、北欧国家</t>
    <phoneticPr fontId="1" type="noConversion"/>
  </si>
  <si>
    <t>教育机构（Early Childhood Education Provider）</t>
  </si>
  <si>
    <t>主席（Chairwoman, Bundesverband）</t>
  </si>
  <si>
    <t>European Network of Forest Kindergartens（欧洲森林教育网络）</t>
  </si>
  <si>
    <t>德国境内超过1,500家森林幼儿园
强调“雨雪无阻，自然即课堂”的教育理念
被联合国可持续发展教育项目（ESD）认可为创新教育实践
提供国家级资格认证教师培训项目（Waldpädagogik）</t>
    <phoneticPr fontId="1" type="noConversion"/>
  </si>
  <si>
    <t>暂无在华注册代表处。
中国部分城市如深圳、杭州、成都等有本地幼儿园借鉴“森林教育”理念，但无明确与德国森林幼儿园体系的直接合作。</t>
    <phoneticPr fontId="1" type="noConversion"/>
  </si>
  <si>
    <t xml:space="preserve"> 正常运营，2024年德国境内新增多个成员园所，且持续参与联邦教育政策对话。</t>
    <phoneticPr fontId="1" type="noConversion"/>
  </si>
  <si>
    <t>英国志愿组织首席执行官协会</t>
    <phoneticPr fontId="1" type="noConversion"/>
  </si>
  <si>
    <t>伦敦（London）</t>
  </si>
  <si>
    <t>ACEVO 是英国非营利领域高级管理人员的重要网络组织，专注于支持志愿组织和社会企业的首席执行官及高级领导者。其核心工作包括：提供领导力培训、政策倡导、职业支持、同行互助平台以及代表非营利部门在政府与媒体中的声音。ACEVO 致力于推动公益部门的良治与影响力提升。</t>
  </si>
  <si>
    <t>英国本国</t>
  </si>
  <si>
    <t>欧洲（通过合作网络）</t>
  </si>
  <si>
    <t>教育与能力建设平台（Leadership &amp; Training Platform）</t>
  </si>
  <si>
    <t>首席执行官</t>
  </si>
  <si>
    <t>暂无明确查到其作为正式成员加入国际网络，主要为英国本土性网络组织。</t>
    <phoneticPr fontId="1" type="noConversion"/>
  </si>
  <si>
    <t>拥有超过1,600名成员，覆盖英国大中型社会组织负责人
出版《Leadership Worth Following》系列报告
定期举办政策圆桌、年度大会、女性领导者论坛
在英国公共政策制定中具备一定影响力，聚焦公益组织治理和领导力发展</t>
    <phoneticPr fontId="1" type="noConversion"/>
  </si>
  <si>
    <t>正常运营，截至2024年持续发布影响力报告，并主办第三部门高管领导力大会。</t>
    <phoneticPr fontId="1" type="noConversion"/>
  </si>
  <si>
    <t>英国广播公司传媒行动组织</t>
  </si>
  <si>
    <t>1999（原名 BBC World Service Trust，2011年改为现名）</t>
  </si>
  <si>
    <t>英国</t>
  </si>
  <si>
    <t>是（在亚非多国有办公室与项目）</t>
  </si>
  <si>
    <t>BBC Media Action 是英国广播公司（BBC）旗下独立的国际慈善机构，致力于通过媒体与传播手段促进发展与社会变革。其主要工作包括：提升弱势群体的信息获取能力、推动社会包容与性别平等、强化危机应对传播体系，以及支持本地媒体能力建设。广泛开展健康传播、灾害应对、民主治理等项目。</t>
  </si>
  <si>
    <t>南亚、东非、中东</t>
  </si>
  <si>
    <t>东南亚、拉美、东欧部分地区</t>
  </si>
  <si>
    <t>媒体与公共传播机构 (Media / Public Interest Communication)</t>
  </si>
  <si>
    <t>拥有BBC品牌背书但运营独立，以慈善注册身份独立于BBC运营
核心项目包括：“Lifeline”灾害信息广播、“Climate Asia”气候传播项目
在阿富汗、孟加拉、埃塞俄比亚、缅甸等地设有项目办公室
强调“evidence-based communication for development”传播理念</t>
    <phoneticPr fontId="1" type="noConversion"/>
  </si>
  <si>
    <t>正常运营，2024年仍有项目在乌克兰、孟加拉、索马里等地推进。</t>
    <phoneticPr fontId="1" type="noConversion"/>
  </si>
  <si>
    <t>英国广播公司世界服务信托</t>
  </si>
  <si>
    <t>是（曾在亚洲、非洲多国设项目办公室）</t>
  </si>
  <si>
    <t>BBC World Service Trust 是 BBC 于1999年设立的国际发展慈善部门，旨在通过传播、教育与媒体手段推进发展议题，支持弱势群体获取关键发展信息。重点议题包括健康教育、民主治理、灾害应急传播等。2011年正式更名为 BBC Media Action，现已不再以原名称运作。</t>
    <phoneticPr fontId="1" type="noConversion"/>
  </si>
  <si>
    <t>非洲、南亚、中东</t>
  </si>
  <si>
    <t>东南亚、拉丁美洲部分国家</t>
  </si>
  <si>
    <t>现已并入 BBC Media Action</t>
    <phoneticPr fontId="1" type="noConversion"/>
  </si>
  <si>
    <t>原为BBC旗下独立发展慈善组织
项目模式强调以广播/影视传播为工具推动社会变革
著名案例包括 HIV/AIDS 教育剧集、选举参与广播等
2011年改名为 BBC Media Action，继续原工作</t>
    <phoneticPr fontId="1" type="noConversion"/>
  </si>
  <si>
    <t xml:space="preserve"> 已停止独立运营，2011年后正式改名为 BBC Media Action，原品牌已停用。</t>
    <phoneticPr fontId="1" type="noConversion"/>
  </si>
  <si>
    <t>碳披露</t>
    <phoneticPr fontId="1" type="noConversion"/>
  </si>
  <si>
    <t>是（全球设有办公室）</t>
  </si>
  <si>
    <t>CDP 是一家总部设在伦敦的国际非营利组织，致力于推动企业、城市和政府披露其环境影响数据，包括碳排放、水资源管理和森林保护。CDP 提供全球最广泛使用的环境披露系统，并通过其评分系统影响投资决策与可持续转型。CDP 与联合国、金融机构、大型企业保持密切合作，是全球气候治理的重要平台之一。</t>
  </si>
  <si>
    <t>全球（含中国）</t>
  </si>
  <si>
    <t>无特别次要区域，全球分布均衡</t>
  </si>
  <si>
    <t>Science Based Targets initiative (SBTi)
We Mean Business Coalition
UN Global Compact（联合国全球契约）
Task Force on Climate-related Financial Disclosures (TCFD)</t>
    <phoneticPr fontId="1" type="noConversion"/>
  </si>
  <si>
    <t>被视为全球环境信息披露的黄金标准
“CDP打分”广泛应用于 ESG 投资、供应链管理与政策影响
项目涵盖气候、水与森林三大环境主题
与近700家城市、数千家企业开展数据披露合作
数据被彭博、MSCI 等金融平台广泛引用</t>
    <phoneticPr fontId="1" type="noConversion"/>
  </si>
  <si>
    <t>CDP 在中国上海设有代表处
定期发布《中国环境信息披露报告》并与中国企业、政策研究机构合作开展 ESG 与碳市场研究项目。</t>
    <phoneticPr fontId="1" type="noConversion"/>
  </si>
  <si>
    <t>正常运营，2024年已更新全球披露问卷系统并参与COP29活动。</t>
    <phoneticPr fontId="1" type="noConversion"/>
  </si>
  <si>
    <t>英国皇家国际事务研究所</t>
  </si>
  <si>
    <t>Chatham House 是享誉全球的国际关系与公共政策研究智库，重点研究全球治理、可持续发展、国际安全、经济和气候政策等议题。其独立、权威的政策研究影响广泛，并以“查塔姆规则”著称，促进私密、开放的高质量政策对话。该机构定期发布《世界今日》（The World Today）等刊物，并组织高级别政策论坛。</t>
  </si>
  <si>
    <t>全球</t>
    <phoneticPr fontId="1" type="noConversion"/>
  </si>
  <si>
    <t>学术与科研机构 
(Academic / Research Institution)</t>
  </si>
  <si>
    <t>Member of the Council of Councils (CoC), hosted by the Council on Foreign Relations (CFR)
Contributor to UNDP and UNFCCC knowledge platforms
Global Think Tank Index常年入选前十</t>
    <phoneticPr fontId="1" type="noConversion"/>
  </si>
  <si>
    <t>以“查塔姆规则（Chatham House Rule）”闻名于政策圈
品牌项目包括全球能源转型指数、未来多边主义论坛等
拥有多个研究项目，如环境与社会变革、非洲未来、全球网络秩序
曾参与多届 COP 联合出版和政策建议活动</t>
    <phoneticPr fontId="1" type="noConversion"/>
  </si>
  <si>
    <t xml:space="preserve"> 正常运营，2024年活跃参与COP29相关智库联盟与AI治理项目。</t>
    <phoneticPr fontId="1" type="noConversion"/>
  </si>
  <si>
    <t>英国儿童投资基金会</t>
  </si>
  <si>
    <t>是（在肯尼亚内罗毕、印度新德里设有办事处）</t>
  </si>
  <si>
    <t>CIFF 是全球最大的儿童相关私人慈善基金会之一，旨在改善儿童福祉和应对气候变化。其资助领域包括儿童健康与营养、性别平等、教育、气候行动与城市可持续发展。CIFF 专注于系统性变革，通过项目资助、政策倡导和数据支持等方式，推动政府与私营部门采取行动，应对发展中国家的结构性问题。</t>
  </si>
  <si>
    <t>非洲、南亚、东南亚</t>
  </si>
  <si>
    <t>拉丁美洲、东亚</t>
  </si>
  <si>
    <t>全球最大关注儿童营养的私人基金会之一
重点资助气候融资、青少年性健康与教育议题
在非洲与印度设有区域办公室，强调“全球南方主导”策略
支持多个基于证据的数据平台与研究项目，如ClimateWorks、Malaria Atlas等</t>
    <phoneticPr fontId="1" type="noConversion"/>
  </si>
  <si>
    <t>正常运营，2024年活跃于G7营养融资倡议、UNFCCC多边基金合作与非洲青少年计划资助。</t>
    <phoneticPr fontId="1" type="noConversion"/>
  </si>
  <si>
    <t>中外对话</t>
    <phoneticPr fontId="1" type="noConversion"/>
  </si>
  <si>
    <t>中外对话是一家总部位于伦敦的非营利性国际媒体机构，致力于推动全球环境问题对话，尤其是围绕中国与世界之间的气候变化、绿色转型与生态治理议题。机构运营包括中英双语新闻平台《中外对话》（China Dialogue）、以及“第三极”、“中拉对话”等子项目，强调跨文化、跨语言的传播和深度报道。其目标是提升公众、政策制定者和多方利益相关者对全球可持续议题的认知与理解。</t>
  </si>
  <si>
    <t>中国、拉美、东亚、欧洲</t>
  </si>
  <si>
    <t>非洲、南亚</t>
  </si>
  <si>
    <t>Earth Journalism Network（EJN）成员及合作伙伴
与Climate Tracker、The Guardian等跨国媒体合作
曾接受CIFF、Ford Foundation、Oak Foundation等国际基金会资助</t>
    <phoneticPr fontId="1" type="noConversion"/>
  </si>
  <si>
    <t>品牌项目包括《中外对话 China Dialogue》、《第三极》、《中拉对话 Diálogo Chino》等
以中英双语发布分析、报道和评论，强调信息的知识性与可访问性
栏目内容涵盖气候政策、生态保护、能源转型、绿色金融、青年声音等
拥有稳定编辑团队与全球记者网络，在中文气候传播领域影响较大</t>
    <phoneticPr fontId="1" type="noConversion"/>
  </si>
  <si>
    <t>暂无在华注册代表处
其中文平台主要由英国总部协调发布，但长期合作中国本地作者、研究者与NGO；其内容广泛引用中国政策并服务中国读者。</t>
    <phoneticPr fontId="1" type="noConversion"/>
  </si>
  <si>
    <t>正常运营，2024年仍稳定发布双语文章，并扩展“第三极”系列与绿色价值链话题。</t>
    <phoneticPr fontId="1" type="noConversion"/>
  </si>
  <si>
    <t>利兹大学健康管理创新中心</t>
  </si>
  <si>
    <t>利兹（Leeds）</t>
  </si>
  <si>
    <t>CIHM 是隶属于英国利兹大学商学院的研究与培训中心，致力于推动健康管理与卫生系统治理创新，重点涉及跨部门治理、组织变革、领导力发展和全球健康议题。CIHM 聚焦英国本土与国际合作，尤其在卫生政策、跨文化健康体系比较与国际能力建设领域开展大量研究与培训。</t>
  </si>
  <si>
    <t>英国、非洲、中国、东南亚</t>
  </si>
  <si>
    <t>正常运营，2024年仍作为利兹大学下属中心活跃发布研究项目与举办健康管理工作坊。</t>
    <phoneticPr fontId="1" type="noConversion"/>
  </si>
  <si>
    <t>克莱恩斯欧洲环保协会</t>
    <phoneticPr fontId="1" type="noConversion"/>
  </si>
  <si>
    <t>否（曾有代表处，现已关闭）</t>
  </si>
  <si>
    <t>是（在布鲁塞尔、柏林、马德里设有办公室）</t>
    <phoneticPr fontId="1" type="noConversion"/>
  </si>
  <si>
    <t>ClientEarth 是一家总部位于英国的非营利环保法律机构，致力于通过法律手段推动环境保护与气候治理。机构在欧洲、亚洲和非洲等地积极开展政策倡导、法律诉讼和技术支持，主要议题包括气候变化、空气污染、森林保护、可持续渔业等。ClientEarth 强调“法律即工具”，并以推进环境法治建设和提升公众法律意识为核心使命。</t>
  </si>
  <si>
    <t>欧洲、中国、东南亚、非洲部分国家</t>
  </si>
  <si>
    <t>拉丁美洲（战略研究支持）</t>
  </si>
  <si>
    <t>法治与治理能力 (Rule of Law &amp; Governance)</t>
  </si>
  <si>
    <t>Climate Action Network (CAN)
Environmental Justice Foundation (合作组织)
UN Environment Assembly（参与者）
European Environmental Bureau (EEB) 合作单位</t>
    <phoneticPr fontId="1" type="noConversion"/>
  </si>
  <si>
    <t>以法律诉讼手段推动政府与企业承担环保责任
在中国曾参与“环境公益诉讼”、“空气质量管理政策”研究等项目
强调法律工具与环境正义的结合
对能源转型、森林治理、绿色金融法规亦有深度研究</t>
    <phoneticPr fontId="1" type="noConversion"/>
  </si>
  <si>
    <t>暂无在华注册代表处
ClientEarth 曾在北京设立“ClientEarth China Office”，与生态环境部政策研究中心等机构合作，推动环境法治建设、碳市场法规研究与空气质量政策倡导。该办公室于2021年前后关闭，当前合作多通过第三方或线上研究形式展开。</t>
    <phoneticPr fontId="1" type="noConversion"/>
  </si>
  <si>
    <t xml:space="preserve"> 正常运营，2024年持续发布全球项目、参与欧盟政策评论、拓展非洲与亚洲法律支持网络。</t>
    <phoneticPr fontId="1" type="noConversion"/>
  </si>
  <si>
    <t>英国环境、食品与农村事务部</t>
  </si>
  <si>
    <t>Defra 是英国政府主管环境保护、粮食生产、农业事务及农村发展的中央政府部门。其职责涵盖气候变化政策、自然保护、水资源管理、农业与渔业发展、动物福利等。Defra 也是英国在国际环保谈判与环境协定（如 UNFCCC、生物多样性公约）中的主要代表部门，积极参与双边与多边可持续发展合作。</t>
    <phoneticPr fontId="1" type="noConversion"/>
  </si>
  <si>
    <t>英国、欧盟、联合国多边机制相关国家</t>
    <phoneticPr fontId="1" type="noConversion"/>
  </si>
  <si>
    <t>中国、南亚、非洲（对话与技术交流）</t>
    <phoneticPr fontId="1" type="noConversion"/>
  </si>
  <si>
    <t>动物保护与自然资源治理 (Animal Welfare &amp; Natural Resources Governance)</t>
  </si>
  <si>
    <t>UNFCCC（联合国气候变化框架公约缔约方）
CBD（生物多样性公约）
OECD 环境政策委员会成员
IPBES（生物多样性与生态系统服务政府间平台）
G7/G20 环境工作组
与 EU Environment Council、联合国粮农组织（FAO）保持合作关系</t>
    <phoneticPr fontId="1" type="noConversion"/>
  </si>
  <si>
    <t>主导制定英国国内的气候与农业政策
管理英国碳预算与适应战略
代表英国参与全球生物多样性框架谈判
近年来积极推动农业数字化、绿色农业补贴机制
与发展中国家合作开展环保知识与经验分享计划</t>
    <phoneticPr fontId="1" type="noConversion"/>
  </si>
  <si>
    <t>正常运营，2024年为 COP29、昆明-蒙特利尔全球生物多样性框架的核心参与方，持续在多边机制中活跃。</t>
    <phoneticPr fontId="1" type="noConversion"/>
  </si>
  <si>
    <t>英中协会</t>
  </si>
  <si>
    <t>GBCC 是由英国外交发展部（FCDO）资助成立的政府间非营利机构，致力于推动英中之间在法治、可持续发展、人文交流等领域的理解与合作。其主要项目包括司法交流、绿色发展政策对话、青年交流计划等，强调“安静外交”（quiet diplomacy）与非对抗性沟通路径，目标是增进中英之间的相互理解与务实合作。</t>
  </si>
  <si>
    <t>英国、中国</t>
  </si>
  <si>
    <t>强调“非对抗性外交”（Quiet Diplomacy）方式深化中英合作
品牌项目包括中英法治对话（UK-China Rule of Law Initiative）、绿色合作研讨项目、中英青年领导力交流等
与中国多家机构有常年沟通关系，如中国法学会、国家法官学院、生态环境部政策研究中心等</t>
    <phoneticPr fontId="1" type="noConversion"/>
  </si>
  <si>
    <t>正常运营，2024年仍活跃开展中英司法及绿色治理对话，更新网站及项目报告。</t>
    <phoneticPr fontId="1" type="noConversion"/>
  </si>
  <si>
    <t>英国伊斯兰救助组织</t>
  </si>
  <si>
    <t>伯明翰（Birmingham）</t>
  </si>
  <si>
    <t>是（在40多个国家设有分支机构或代表处）</t>
  </si>
  <si>
    <t>Islamic Relief 是全球领先的国际人道与发展组织之一，以伊斯兰价值观为指导，向世界最脆弱的群体提供紧急救援、减贫与可持续发展支持。主要工作领域包括灾害救援、粮食安全、教育、医疗卫生、水与卫生设施建设，以及支持孤儿与弱势群体。该组织在冲突与灾害多发地区有丰富的应急响应经验。</t>
  </si>
  <si>
    <t>中东、非洲、南亚</t>
  </si>
  <si>
    <t>欧洲、东南亚、拉丁美洲</t>
  </si>
  <si>
    <t>首席执行官（Chief Executive Officer）</t>
  </si>
  <si>
    <t>联合国经济及社会理事会（ECOSOC）咨商地位
Start Network（人道主义快速响应网络）
ICVA（国际志愿组织理事会）</t>
    <phoneticPr fontId="1" type="noConversion"/>
  </si>
  <si>
    <t>拥有专门的“孤儿赞助计划”覆盖多个国家
在也门、叙利亚、巴勒斯坦等危机地区长期提供援助
强调可持续生计与社区恢复能力建设
在水与卫生（WASH）项目上具有全球性影响力</t>
    <phoneticPr fontId="1" type="noConversion"/>
  </si>
  <si>
    <t xml:space="preserve"> 正常运营，2024年持续在50多个国家执行项目，并活跃于国际人道主义协调平台。</t>
    <phoneticPr fontId="1" type="noConversion"/>
  </si>
  <si>
    <t>英国乐施会</t>
  </si>
  <si>
    <t>牛津（Oxford）</t>
  </si>
  <si>
    <t>是（Oxfam 国际联盟在全球90多个国家开展工作）</t>
  </si>
  <si>
    <t>Oxfam UK 是国际乐施会联盟的重要成员之一，致力于消除贫困、不平等与不公正。主要工作包括人道紧急救援、长期发展项目、政策与公众倡导。议题涉及性别平等、气候正义、粮食安全、生计改善、教育、健康和人权等领域。Oxfam GB 同时通过二手商店网络为其国际项目筹集资金。在中国大陆的业务由 Oxfam Hong Kong（香港乐施会）北京代表处 执行</t>
    <phoneticPr fontId="1" type="noConversion"/>
  </si>
  <si>
    <t>非洲、亚洲、拉丁美洲、中东</t>
  </si>
  <si>
    <t>欧洲及国际多边机制平台</t>
  </si>
  <si>
    <t>首席执行官（CEO）</t>
  </si>
  <si>
    <t>Oxfam International（国际乐施会联盟）
Climate Action Network (CAN)
Fair Trade Advocacy Office（公平贸易倡导办公室）
Bond（英国发展NGO网络）</t>
    <phoneticPr fontId="1" type="noConversion"/>
  </si>
  <si>
    <t>在全球范围执行紧急救援与发展项目
发起“Make Trade Fair”“Behind the Brands”等国际倡导活动
在气候正义与性别平等方面有长期经验与广泛伙伴网络
英国境内运营约600家慈善商店</t>
    <phoneticPr fontId="1" type="noConversion"/>
  </si>
  <si>
    <t>Oxfam UK 在中国大陆没有独立注册代表处。
其在中国的业务由 Oxfam Hong Kong（香港乐施会）北京代表处 管理，包括扶贫、教育、气候与性别平等等长期项目，覆盖云南、甘肃、贵州、广西等地。该代表处已在公安机关完成境外非政府组织代表机构备案。</t>
    <phoneticPr fontId="1" type="noConversion"/>
  </si>
  <si>
    <t xml:space="preserve"> 正常运营，2024年活跃于全球多个危机救援与发展合作项目，并持续参与气候与社会公正倡导。</t>
    <phoneticPr fontId="1" type="noConversion"/>
  </si>
  <si>
    <t>英国救助儿童会</t>
  </si>
  <si>
    <t>是（国际救助儿童会联盟在约120个国家和地区开展工作）</t>
  </si>
  <si>
    <t>Save the Children UK 是全球最大的儿童权益保护与发展机构之一——国际救助儿童会联盟（Save the Children International）的重要成员。致力于通过教育、健康、儿童保护、紧急救援与政策倡导，改善全球儿童生存、发展与保护环境。其国际工作注重应对贫困、不平等与危机冲突对儿童的影响。在中国大陆的业务由 Save the Children Hong Kong（香港救助儿童会）北京代表处 执行</t>
    <phoneticPr fontId="1" type="noConversion"/>
  </si>
  <si>
    <t>欧洲及多边治理机制参与国</t>
  </si>
  <si>
    <t>儿童权利与保护 (Child Rights &amp; Protection)</t>
  </si>
  <si>
    <t>Save the Children International（国际救助儿童会联盟）
Bond（英国发展NGO网络）
Start Network（人道救援快速响应网络）</t>
    <phoneticPr fontId="1" type="noConversion"/>
  </si>
  <si>
    <t>全球首批关注儿童权益的国际组织之一
参与制定并推动《儿童权利公约》（CRC）的国际倡导
在冲突、灾害、贫困等危机中开展紧急救援与长期恢复项目
品牌活动包括 “Christmas Jumper Day” 募款日、“Stop the War on Children” 倡导活动</t>
    <phoneticPr fontId="1" type="noConversion"/>
  </si>
  <si>
    <t>英国救助儿童会在中国大陆没有独立注册代表处。
其在中国的业务由 Save the Children Hong Kong（香港救助儿童会）北京代表处 管理，备案名为“救助儿童会（香港）北京代表处”，在公安机关完成境外非政府组织代表机构登记。主要领域包括儿童保护、教育公平、灾害风险减缓等，合作地区覆盖云南、四川、贵州等地。</t>
    <phoneticPr fontId="1" type="noConversion"/>
  </si>
  <si>
    <t xml:space="preserve"> 正常运营，2024年持续在全球执行多领域儿童权益与发展项目，并活跃参与国际人道机制。</t>
    <phoneticPr fontId="1" type="noConversion"/>
  </si>
  <si>
    <t>港澳救世军</t>
  </si>
  <si>
    <t>1930年代（救世军在港澳地区开展工作）</t>
  </si>
  <si>
    <t>香港（Hong Kong）</t>
  </si>
  <si>
    <t>是（在中国大陆部分城市注册或与地方合作开展社会服务）</t>
  </si>
  <si>
    <t>是（救世军为全球性基督教慈善组织，在130多个国家开展工作）</t>
  </si>
  <si>
    <t>港澳救世军是国际救世军体系的区域指挥部之一，负责协调香港、澳门及部分中国大陆地区的救世军社会服务与教会事务。业务涵盖社会福利（老人服务、儿童服务、戒毒康复、社区关怀）、教育服务、紧急救援、灾害应对以及教会事工。该机构结合宗教使命与社会服务，在弱势群体关怀和社会融合方面经验丰富。</t>
  </si>
  <si>
    <t>中国香港、澳门及部分中国大陆城市</t>
  </si>
  <si>
    <t>社会服务提供机构 (Social Service Provider)</t>
  </si>
  <si>
    <t>行政长官（Commanding Officer）</t>
  </si>
  <si>
    <t>The Salvation Army International（国际救世军）
ACT Alliance（行动教会联合会）</t>
    <phoneticPr fontId="1" type="noConversion"/>
  </si>
  <si>
    <t>在香港运营多所学校、社区中心及戒毒康复中心
在大陆部分城市与地方政府合作开展老人院、社区康复服务
灾害时期参与紧急物资派发及灾后重建
提供多种形式的宗教与社会支持服务</t>
    <phoneticPr fontId="1" type="noConversion"/>
  </si>
  <si>
    <t>正常运营，2024年继续在港澳及部分中国大陆城市执行社会服务与人道救援项目。</t>
    <phoneticPr fontId="1" type="noConversion"/>
  </si>
  <si>
    <t>第三代环境主义组织</t>
  </si>
  <si>
    <t>是（在布鲁塞尔、柏林、华盛顿特区设有办公室）</t>
  </si>
  <si>
    <t>E3G 是一家国际非营利智库型环保机构，致力于通过战略研究、政策倡导和多方协作推动全球可持续发展与气候安全。其使命是加速向零碳经济转型，并在气候外交、绿色金融、能源转型与气候安全等议题发挥影响力。E3G 的特色是与政府、企业、金融机构及民间社会建立跨界合作，促进结构性政策变革。</t>
  </si>
  <si>
    <t>欧洲、北美、部分全球南方国家</t>
  </si>
  <si>
    <t>全球多边治理平台（UNFCCC、G20、世界银行等）</t>
  </si>
  <si>
    <t>绿色金融与气候投资 (Green Finance &amp; Climate Investment)</t>
  </si>
  <si>
    <t>核心工作领域包括气候外交、绿色金融、能源系统改革
以“气候外交指数”“绿色投资政策评估”等研究产品闻名
在欧盟气候政策与绿色金融国际议程上具有较高影响力
积极参与 COP 谈判，常为发展中国家代表团提供政策分析支持</t>
    <phoneticPr fontId="1" type="noConversion"/>
  </si>
  <si>
    <t>正常运营，2024年在绿色金融与气候外交领域持续发布高影响力研究并参与多边谈判。</t>
    <phoneticPr fontId="1" type="noConversion"/>
  </si>
  <si>
    <t>英国海外志愿服务社</t>
  </si>
  <si>
    <t>是（在20多个国家有办公室）</t>
  </si>
  <si>
    <t>VSO 是全球领先的国际志愿者发展组织之一，通过派遣专业志愿者，与本地社区合作推动教育、健康、生计、社会包容等领域的可持续发展。VSO 强调“人对人”的技能与经验共享模式，帮助弱势群体提升能力，促进平等和社会包容。其项目覆盖非洲、亚洲和太平洋多个国家，并与多边机构合作推动全球发展议程。</t>
  </si>
  <si>
    <t>非洲、亚洲、太平洋地区</t>
  </si>
  <si>
    <t>欧洲（部分能力建设与培训项目）</t>
  </si>
  <si>
    <t>International Forum for Volunteering in Development (Forum)
Bond（英国发展NGO网络）</t>
    <phoneticPr fontId="1" type="noConversion"/>
  </si>
  <si>
    <t>代表性项目包括教育公平倡导、青年志愿者计划（Youth for Development）
注重性别包容、残障人士赋权、青年参与
与政府、国际机构、私营部门合作推动联合倡导
在教育和健康领域强调长期志愿者与短期专家结合模式</t>
    <phoneticPr fontId="1" type="noConversion"/>
  </si>
  <si>
    <t>VSO 在中国设有北京代表处，主要聚焦教育公平、职业培训、社会包容、志愿服务文化推广等议题。与中国高校、社会组织和社区合作，促进中外志愿者交流和发展合作。</t>
    <phoneticPr fontId="1" type="noConversion"/>
  </si>
  <si>
    <t>正常运营，2024年持续派遣国际志愿者并运营多国发展项目。</t>
  </si>
  <si>
    <t>世界动物保护协会</t>
  </si>
  <si>
    <t>1981（前身为 World Society for the Protection of Animals, WSPA，2014 年更名为 WAP）</t>
  </si>
  <si>
    <t>是（在12个国家设有办公室，并在50多个国家开展项目）</t>
  </si>
  <si>
    <t>世界动物保护协会是一家国际非营利组织，致力于改善全球动物福利标准与法律保护水平。核心工作包括推动野生动物保护、减少动物受虐、改善畜牧动物福利以及倡导无残忍消费。WAP 通过政策倡导、公众教育和项目合作，与政府、国际组织、企业及公众共同推动动物保护的制度化与全球化。</t>
  </si>
  <si>
    <t>全球，包括欧洲、亚洲、非洲、美洲</t>
  </si>
  <si>
    <t>在野生动物保护领域有较高国际影响力
品牌倡导活动包括“野生动物不娱乐（Wildlife. Not Entertainers）”和“无残忍食物系统（Cage Free Future）”
在全球推动立法改善动物福利标准
与WWF、CI、IUCN等机构合作</t>
    <phoneticPr fontId="1" type="noConversion"/>
  </si>
  <si>
    <t>WAP 在中国设有北京代表处（备案名称：世界动物保护协会北京代表处），在中国推动野生动物保护、伴侣动物福利提升、畜牧动物福利标准推广等。与中国农业大学、中华环保联合会等机构有合作项目。</t>
    <phoneticPr fontId="1" type="noConversion"/>
  </si>
  <si>
    <t>正常运营，2024 年持续在全球开展动物福利项目与政策倡导。</t>
    <phoneticPr fontId="1" type="noConversion"/>
  </si>
  <si>
    <t>法国4D协会</t>
  </si>
  <si>
    <t>巴黎（Paris）</t>
  </si>
  <si>
    <t>Association 4D 是一家总部位于法国的非营利组织，致力于推动可持续发展教育、社会转型和公众参与，尤其聚焦《2030年可持续发展议程》和气候变化议题。它通过研究、政策倡导、公众对话和能力建设促进多方合作，推动社会在环境保护、社会公正、经济可持续性之间取得平衡。</t>
  </si>
  <si>
    <t>法国及欧盟</t>
  </si>
  <si>
    <t>全球可持续发展网络（尤其在UN SDG相关平台活跃）</t>
  </si>
  <si>
    <t>SDG Watch Europe（欧洲可持续发展目标监督网络）
Climate Action Network (CAN) Europe</t>
    <phoneticPr fontId="1" type="noConversion"/>
  </si>
  <si>
    <t>专注推动《2030议程》和《巴黎协定》在法国及欧盟的落地
通过组织市民对话、培训和协作项目提升公众与地方政府的气候与可持续发展意识
定期发布法国SDG和气候政策监测报告
在国际气候大会（COP）期间积极参与民间社会倡导</t>
    <phoneticPr fontId="1" type="noConversion"/>
  </si>
  <si>
    <t>正常运营，2024年持续活跃于法国及欧盟SDG政策倡导与气候治理网络。</t>
    <phoneticPr fontId="1" type="noConversion"/>
  </si>
  <si>
    <t>法国欧洲公民行动发展协会</t>
  </si>
  <si>
    <t>鲁贝（Roubaix）</t>
  </si>
  <si>
    <t>否（项目合作覆盖多国，但无正式代表处）</t>
  </si>
  <si>
    <t>ADICE 是一家位于法国北部的非营利组织，专注于促进青年国际流动、跨文化交流和社会包容。机构通过欧盟的青年交流和志愿者项目（Erasmus+、European Solidarity Corps 等）为青年提供海外志愿服务、实习与能力建设机会。其工作聚焦提升青年职业能力、加强多样性与包容性、公民参与和跨文化理解。</t>
  </si>
  <si>
    <t>欧盟成员国、巴尔干地区、北非</t>
  </si>
  <si>
    <t>全球志愿者网络覆盖的合作国家（主要通过欧盟项目）</t>
  </si>
  <si>
    <t>社会包容与多样性 (Social Inclusion &amp; Diversity)</t>
  </si>
  <si>
    <t>青年发展与志愿者行动 (Youth Development &amp; Volunteering)</t>
  </si>
  <si>
    <t>Erasmus+ Programme（欧盟青年与教育计划）
European Solidarity Corps（欧盟青年团结志愿者项目）</t>
    <phoneticPr fontId="1" type="noConversion"/>
  </si>
  <si>
    <t>法国最活跃的国际志愿者派遣与接待组织之一
长期参与欧盟青年动员项目（EVS / ESC）
专注弱势青年群体的国际流动机会
提供跨文化能力培训、就业辅导与国际志愿服务管理</t>
    <phoneticPr fontId="1" type="noConversion"/>
  </si>
  <si>
    <t>暂无在华注册代表处。
未发现其在中国大陆直接开展项目或建立合作渠道。</t>
    <phoneticPr fontId="1" type="noConversion"/>
  </si>
  <si>
    <t>正常运营。2024–2025 年持续更新青年志愿者项目和 Erasmus+ 参与信息。</t>
    <phoneticPr fontId="1" type="noConversion"/>
  </si>
  <si>
    <t>欧亚网络</t>
  </si>
  <si>
    <t>法国</t>
  </si>
  <si>
    <t>马赛（Marseille）</t>
  </si>
  <si>
    <t>否（但有跨国项目合作网络）</t>
  </si>
  <si>
    <t>Eurasia Net 是一家总部位于法国的非营利组织，主要致力于推动欧亚地区（主要是中亚与欧洲）之间的文化交流、青年互访、能力建设和公民社会合作。其项目包括跨文化教育、青年流动计划、艺术合作、媒体与信息素养培训等，旨在促进跨区域合作、理解和公民参与。组织重点覆盖中亚国家（哈萨克斯坦、吉尔吉斯斯坦、塔吉克斯坦、乌兹别克斯坦等）与欧盟成员国。</t>
  </si>
  <si>
    <t>中亚、法国及欧盟</t>
  </si>
  <si>
    <t>欧洲邻国、欧盟伙伴网络国家</t>
  </si>
  <si>
    <t>教育与青年能力建设机构 (Education &amp; Youth Development Organization)</t>
  </si>
  <si>
    <t>青年发展与跨文化交流 (Youth Development &amp; Intercultural Dialogue)</t>
  </si>
  <si>
    <t>Erasmus+（欧盟青年与教育计划）
European Solidarity Corps（欧盟青年团结志愿者平台）</t>
    <phoneticPr fontId="1" type="noConversion"/>
  </si>
  <si>
    <t>强项为欧亚地区的青年与文化交流项目
重点项目包括青年跨文化对话、艺术与社会创新、志愿者交流
强调促进欧盟与中亚国家之间的民间社会联系
定期组织欧亚青年大会、艺术节、跨文化培训</t>
    <phoneticPr fontId="1" type="noConversion"/>
  </si>
  <si>
    <t>暂无在华注册代表处。
未发现与中国大陆直接合作项目或正式合作关系。</t>
    <phoneticPr fontId="1" type="noConversion"/>
  </si>
  <si>
    <t>正常运营。2024–2025 年持续发布新的青年项目与跨文化交流活动内容。</t>
    <phoneticPr fontId="1" type="noConversion"/>
  </si>
  <si>
    <t>International Forum of National NGO Platforms（Forus）</t>
    <phoneticPr fontId="1" type="noConversion"/>
  </si>
  <si>
    <t>Forus 国际网络</t>
    <phoneticPr fontId="1" type="noConversion"/>
  </si>
  <si>
    <t>2008（原名 IFP，2018 年更名为 Forus）</t>
  </si>
  <si>
    <t>巴黎（Paris）</t>
    <phoneticPr fontId="1" type="noConversion"/>
  </si>
  <si>
    <t>否（但覆盖 69 个国家级 NGO 平台、7 个区域联盟，全球运作）</t>
    <phoneticPr fontId="1" type="noConversion"/>
  </si>
  <si>
    <t>Forus 是一个由全球 69 个国家级 NGO 平台与 7 个区域民间社会联盟组成的国际网络组织，旨在加强全球公民社会力量、促进可持续发展、多边参与与政策倡导。其核心工作包括能力建设、资金与治理支持、南南合作、全球民间社会政策对话（尤其是 SDG、融资、C20/G20、多边主义、民主参与等）。
Forus 通过政策倡导、研究报告、平台合作、区域项目和年度大会促进成员之间的连接，强化民间社会在全球治理结构中的声音。</t>
    <phoneticPr fontId="1" type="noConversion"/>
  </si>
  <si>
    <t>全球（覆盖各大洲）</t>
    <phoneticPr fontId="1" type="noConversion"/>
  </si>
  <si>
    <t>联合国系统、G20/C20、OECD、欧盟等多边机制</t>
    <phoneticPr fontId="1" type="noConversion"/>
  </si>
  <si>
    <t>公民社会参与与全球治理 (Civil Society Participation &amp; Global Governance)</t>
  </si>
  <si>
    <t>发展融资与南南合作 (Development Finance &amp; South–South Cooperation)</t>
  </si>
  <si>
    <t>Maria Theresa Lorenzo（秘书长，Secretary General）</t>
    <phoneticPr fontId="1" type="noConversion"/>
  </si>
  <si>
    <t>Secretary General（2024–2027 任期）</t>
    <phoneticPr fontId="1" type="noConversion"/>
  </si>
  <si>
    <t>Forus 本身即为国际网络，不“加入”其它网络。
但其参与合作的平台包括：
UN Major Groups &amp; Stakeholders（联合国主要群体机制）
OECD Development Centre（经合组织发展中心，对话伙伴）
C20（民间社会参与 G20 的官方机制）
SDG-related UN platforms（联合国可持续发展机制对话平台）</t>
    <phoneticPr fontId="1" type="noConversion"/>
  </si>
  <si>
    <t>全球规模最大的民间社会平台网络之一
品牌项目：
“Mutual Support &amp; Solidarity Fund”（互助与团结基金）
“Forus International Annual GA”（年度大会）
“SDG Monitoring Partnership”
重点关注：
民间社会空间保护
发展融资（Financing for Development）
民间社会能力建设（尤其在全球南方）
加强南南合作对话
具有成熟的治理结构与区域代表制度</t>
    <phoneticPr fontId="1" type="noConversion"/>
  </si>
  <si>
    <t>暂无在华注册代表处。
中国民促会（CANGO）是 Forus 的 正式成员，代表中国参与其国际治理、会议、项目与多边政策对话。
在中国无直接项目执行，其互动主要通过成员与多边机制展开。</t>
    <phoneticPr fontId="1" type="noConversion"/>
  </si>
  <si>
    <t>正常运营，2024–2025 年持续更新官网、发布政策文件、推进多边合作，并筹备 2026 年柬埔寨 GA。</t>
    <phoneticPr fontId="1" type="noConversion"/>
  </si>
  <si>
    <t>坦中友好促进会</t>
    <phoneticPr fontId="1" type="noConversion"/>
  </si>
  <si>
    <t>找不到相关信息</t>
    <phoneticPr fontId="1" type="noConversion"/>
  </si>
  <si>
    <t>坦桑尼亚（Tanzania）</t>
    <phoneticPr fontId="1" type="noConversion"/>
  </si>
  <si>
    <t>达累斯萨拉姆（Dar es Salaam）</t>
    <phoneticPr fontId="1" type="noConversion"/>
  </si>
  <si>
    <t>Tanzania-China Friendship Promotion Association 是一家致力于推动坦桑尼亚与中国之间双边关系的民间组织，主要开展文化交流、商务往来促进、教育合作、经贸对接等活动。
其职能包括协助企业寻找合作伙伴、促进地方政府交流、支持社会组织对话，并组织文化节、参访活动及商务对接会。机构主要发挥桥梁作用，促进中坦之间民间、经济和文化的互惠合作。
由于公开信息极少，机构规模、法律注册类型等细节无法完全确认。</t>
    <phoneticPr fontId="1" type="noConversion"/>
  </si>
  <si>
    <t>坦桑尼亚、中国</t>
    <phoneticPr fontId="1" type="noConversion"/>
  </si>
  <si>
    <t>非洲其他国家（零星参与跨国交流活动）</t>
    <phoneticPr fontId="1" type="noConversion"/>
  </si>
  <si>
    <t>找不到明确的组织存续状态信息。</t>
    <phoneticPr fontId="1" type="noConversion"/>
  </si>
  <si>
    <t>科普特福音社会服务组织</t>
    <phoneticPr fontId="1" type="noConversion"/>
  </si>
  <si>
    <t>埃及（Egypt）</t>
    <phoneticPr fontId="1" type="noConversion"/>
  </si>
  <si>
    <t>开罗（Cairo）</t>
    <phoneticPr fontId="1" type="noConversion"/>
  </si>
  <si>
    <t>否（但有全球合作伙伴网络）</t>
    <phoneticPr fontId="1" type="noConversion"/>
  </si>
  <si>
    <t>CEOSS 是埃及规模最大、历史最悠久的非政府组织之一，致力于社区发展、健康服务、教育、和平建设与宗教间对话。其核心目标是改善弱势群体的生活质量，通过在农村和城市地区推进生计提升、妇女赋权、青年发展、健康项目以及残障支持等服务。
同时，CEOSS 以其“宗教间对话与和平建设”平台而闻名，是中东地区最具影响力的宗教和平对话实践组织之一，并与联合国、世界银行、ACT Alliance 等机构保持合作。</t>
    <phoneticPr fontId="1" type="noConversion"/>
  </si>
  <si>
    <t>埃及（重点在农村社区）</t>
    <phoneticPr fontId="1" type="noConversion"/>
  </si>
  <si>
    <t>中东及北非（通过宗教对话与区域合作项目）</t>
    <phoneticPr fontId="1" type="noConversion"/>
  </si>
  <si>
    <t>社区发展机构 (Community Development Organization)</t>
  </si>
  <si>
    <t>和平建设与宗教间对话 (Peacebuilding &amp; Interfaith Dialogue)</t>
  </si>
  <si>
    <t>ACT Alliance（行动教会联合会）
UN Interfaith Platforms（联合国宗教间对话机制的合作组织）
World Council of Churches (WCC)（世界基督教协进会）
Arab Council of Churches（阿拉伯教会理事会）</t>
    <phoneticPr fontId="1" type="noConversion"/>
  </si>
  <si>
    <t xml:space="preserve"> 埃及最具代表性的 FBO（Faith-Based Organization）
品牌项目：
“Ishraq Program”——妇女和女孩赋权
“Interfaith Dialogue Platform”——宗教间对话旗舰平台
社区综合发展项目（综合医疗、教育、残障服务）
拥有自建的研究中心与培训中心
多次获得国际发展奖项（如联合国和平对话奖）</t>
    <phoneticPr fontId="1" type="noConversion"/>
  </si>
  <si>
    <t>暂无在华注册代表处。</t>
    <phoneticPr fontId="1" type="noConversion"/>
  </si>
  <si>
    <t>正常运营。2024–2025 年持续发布年度报告与专项项目成果，并保持与国际组织的活动合作。</t>
    <phoneticPr fontId="1" type="noConversion"/>
  </si>
  <si>
    <t>義務工作發展局</t>
    <phoneticPr fontId="1" type="noConversion"/>
  </si>
  <si>
    <t>中国香港</t>
    <phoneticPr fontId="1" type="noConversion"/>
  </si>
  <si>
    <t>香港</t>
    <phoneticPr fontId="1" type="noConversion"/>
  </si>
  <si>
    <t>1970年成立的非牟利慈善机构，作为义工发展枢纽，与社会各界合作推动义工参与，提供招募、培训、管理及嘉许服务，举办义工学院、青年义工领导计划等，旨在提升志愿服务质量。经费来自港府、公益金、赛马会等。</t>
    <phoneticPr fontId="1" type="noConversion"/>
  </si>
  <si>
    <t>粤港澳大湾区及东亚志愿服务网络</t>
    <phoneticPr fontId="1" type="noConversion"/>
  </si>
  <si>
    <t>广东-香港-澳门大湾区义工服务联盟副主席单位；国际志愿者努力协会(IAVE)和全球志愿服务领导力网络成员</t>
    <phoneticPr fontId="1" type="noConversion"/>
  </si>
  <si>
    <t>香港义工奖、义工学院、数字平台“行义香港”等品牌项目</t>
    <phoneticPr fontId="1" type="noConversion"/>
  </si>
  <si>
    <t>无在华代表处，但与内地志愿服务组织和大湾区合作，是大湾区义工服务联盟副主席单位</t>
    <phoneticPr fontId="1" type="noConversion"/>
  </si>
  <si>
    <t>未合作</t>
  </si>
  <si>
    <t>无</t>
  </si>
  <si>
    <t>存续</t>
    <phoneticPr fontId="1" type="noConversion"/>
  </si>
  <si>
    <t>巴迪基金會</t>
    <phoneticPr fontId="1" type="noConversion"/>
  </si>
  <si>
    <t>中国澳门</t>
    <phoneticPr fontId="1" type="noConversion"/>
  </si>
  <si>
    <t>澳门</t>
    <phoneticPr fontId="1" type="noConversion"/>
  </si>
  <si>
    <t>1990年在澳門成立的非牟利基金會，致力促进中國物質與精神的平衡發展。運營聯國學校，並在甘肃、广东、河北、湖南、宁夏、陕西、山西、四川、云南等省推行青少年道德賦能、環境行動及機構能力建設等項目，釋放婦女和青年潛能。1997年於北京設立代表處。</t>
    <phoneticPr fontId="1" type="noConversion"/>
  </si>
  <si>
    <t>澳门及中国内地西北西南地区（甘肃、广东、河北、湖南、宁夏、陕西、山西、四川、云南等）</t>
    <phoneticPr fontId="1" type="noConversion"/>
  </si>
  <si>
    <t>北京代表处协调的全国性项目</t>
    <phoneticPr fontId="1" type="noConversion"/>
  </si>
  <si>
    <t>与联合国开发计划署、世界粮食计划署、儿童基金会等合作</t>
    <phoneticPr fontId="1" type="noConversion"/>
  </si>
  <si>
    <t>运营聯國學校、道德賦能和早期兒童教育等品牌項目</t>
    <phoneticPr fontId="1" type="noConversion"/>
  </si>
  <si>
    <t>1997年在北京设代表处，与多省社区合作开展青少年赋能和环境行动</t>
    <phoneticPr fontId="1" type="noConversion"/>
  </si>
  <si>
    <t>澳門明愛</t>
    <phoneticPr fontId="1" type="noConversion"/>
  </si>
  <si>
    <t>前身為1951年成立的利氏社會服務中心，1971年加入國際明愛。隸屬澳門教區，提供老人照護、康復、家庭與兒童服務、青年與社區發展、醫療公共衛生、教育培訓、外勞及移民服務和緊急救援，倡導社會公義與扶貧。</t>
    <phoneticPr fontId="1" type="noConversion"/>
  </si>
  <si>
    <t>东亚其他地区及国际明爱网络</t>
    <phoneticPr fontId="1" type="noConversion"/>
  </si>
  <si>
    <t>国际明爱联会成员</t>
    <phoneticPr fontId="1" type="noConversion"/>
  </si>
  <si>
    <t>提供老人院、庇护工场、家庭服务、海外劳工服务、心理辅导等多元社會服務；推行本地贫穷倡议及慈善活动</t>
    <phoneticPr fontId="1" type="noConversion"/>
  </si>
  <si>
    <t>无内地分支，服务集中於澳門地區</t>
    <phoneticPr fontId="1" type="noConversion"/>
  </si>
  <si>
    <t>智行基金會</t>
    <phoneticPr fontId="1" type="noConversion"/>
  </si>
  <si>
    <t>1998年在香港成立的慈善機構，致力於促進平等機會、消除歧視。通過為受愛滋病影響的兒童和家庭提供教育資助、生活扶持和心理援助，以及開展防艾和反歧視宣傳，幫助群體重建生活。基金會在北京、上海、廣州、安徽、河南、雲南等地設有辦事處，經費來自私人捐助和企業合作。</t>
    <phoneticPr fontId="1" type="noConversion"/>
  </si>
  <si>
    <t>中國內地中西部省份（安徽、河南、雲南等）</t>
    <phoneticPr fontId="1" type="noConversion"/>
  </si>
  <si>
    <t>香港及華東沿海城市（北京、上海、廣州）</t>
    <phoneticPr fontId="1" type="noConversion"/>
  </si>
  <si>
    <t>与多家艾滋病防治组织和儿童权益机构合作</t>
    <phoneticPr fontId="1" type="noConversion"/>
  </si>
  <si>
    <t>实施爱滋孤兒教育资助、社区关怀和反歧视艺术教育等项目</t>
    <phoneticPr fontId="1" type="noConversion"/>
  </si>
  <si>
    <t>在北京、上海、广州、安徽、河南和云南设有代表处或项目办公室，执行各地助学与社区关怀项目</t>
    <phoneticPr fontId="1" type="noConversion"/>
  </si>
  <si>
    <t>全球未来研究所</t>
    <phoneticPr fontId="1" type="noConversion"/>
  </si>
  <si>
    <t>马来西亚</t>
    <phoneticPr fontId="1" type="noConversion"/>
  </si>
  <si>
    <t>由奈尔先生於2004年在香港創立的獨立泛亞智庫，致力於幫助企業領袖和政策制定者理解影響商業與社會的全球趨勢。透過全球領袖計劃、青年領袖計劃、GIFT.ed數字平台和定制諮詢服務，推動領導力培育、可持續發展戰略設計和政策研究。機構不隸屬任何政治或宗教團體，在香港及吉隆坡設有辦公室。</t>
    <phoneticPr fontId="1" type="noConversion"/>
  </si>
  <si>
    <t>泛亞地區 (Pan-Asia)</t>
    <phoneticPr fontId="1" type="noConversion"/>
  </si>
  <si>
    <t>咨询/研究机构 (Research &amp; Consulting Organization)</t>
  </si>
  <si>
    <t>教育与能力建设平台 (Leadership &amp; Training Platform)</t>
  </si>
  <si>
    <t>与世界经济论坛等合作并在亚洲各国开展领导力项目</t>
    <phoneticPr fontId="1" type="noConversion"/>
  </si>
  <si>
    <t>提供全球领袖课程、GIFT.ed数字学习平台、咨询研究报告等</t>
    <phoneticPr fontId="1" type="noConversion"/>
  </si>
  <si>
    <t>无内地分支机构，通过课程和咨询与中国机构合作</t>
    <phoneticPr fontId="1" type="noConversion"/>
  </si>
  <si>
    <t>绿色和平东亚分部</t>
    <phoneticPr fontId="1" type="noConversion"/>
  </si>
  <si>
    <t>台湾、韩国、日本</t>
    <phoneticPr fontId="1" type="noConversion"/>
  </si>
  <si>
    <t>1997年在香港成立，是全球绿色和平在东亚的首个办公室。致力应对气候危机、停止有毒污染、保障食物安全、制止非法砍伐和保护海洋，通过科学研究、政策倡议和非暴力行动推动政府和企业改变。东亚办事处设在香港、北京、台北、首尔和东京，倡导可再生能源、海洋保护、减塑和气候正义，资金来源全部来自公众捐款。</t>
    <phoneticPr fontId="1" type="noConversion"/>
  </si>
  <si>
    <t>东亚（中国内地、香港、台湾、韩国、日本）</t>
    <phoneticPr fontId="1" type="noConversion"/>
  </si>
  <si>
    <t>全球环境议题参与</t>
    <phoneticPr fontId="1" type="noConversion"/>
  </si>
  <si>
    <t>全球绿色和平组织网络成员</t>
    <phoneticPr fontId="1" type="noConversion"/>
  </si>
  <si>
    <t>致力推动零碳城市、可再生能源、保护海洋和反塑料污染等运动</t>
    <phoneticPr fontId="1" type="noConversion"/>
  </si>
  <si>
    <t>在北京设代表处，并在香港、台北、首尔和东京设办公室开展跨国环保项目</t>
    <phoneticPr fontId="1" type="noConversion"/>
  </si>
  <si>
    <t>香港樂施會</t>
    <phoneticPr fontId="1" type="noConversion"/>
  </si>
  <si>
    <t>香港樂施會的歷史可追溯至1976年，由志願者成立並於1982年轉為籌款辦事處，是國際樂施會聯會成員。機構透過倡議、發展及人道救援，與貧窮人群及脆弱社區合作，推動消除貧窮和不公義；重視婦女和弱勢群體、氣候正義和公平貿易。支援超過70個國家和地區，並在中國內地31省及港澳開展扶貧、災害管理和城市生計項目。</t>
    <phoneticPr fontId="1" type="noConversion"/>
  </si>
  <si>
    <t>全球南方国家（亚洲、非洲、拉丁美洲等）</t>
    <phoneticPr fontId="1" type="noConversion"/>
  </si>
  <si>
    <t>中国内地及港澳地区</t>
    <phoneticPr fontId="1" type="noConversion"/>
  </si>
  <si>
    <t>国际乐施会联会成员</t>
    <phoneticPr fontId="1" type="noConversion"/>
  </si>
  <si>
    <t>开展“乐施毅行者”徒步筹款、助养儿童计划、农村发展基金和公平贸易倡议等项目</t>
    <phoneticPr fontId="1" type="noConversion"/>
  </si>
  <si>
    <t>在中国内地31省市自治区设有代表处或项目团队，并在澳门设办公室</t>
    <phoneticPr fontId="1" type="noConversion"/>
  </si>
  <si>
    <t>社区伙伴</t>
    <phoneticPr fontId="1" type="noConversion"/>
  </si>
  <si>
    <t>2001年在香港成立，由嘉道理基金會資助，致力與內地及香港社區探索可持續生活。透過文化反思、培育社區促進者和搭建網絡，推動生物多樣性保護、生態農業、自然教育、環境保護和污染防治。主要在雲南、廣西、四川、貴州、廣東等地開展項目，2017年在北京設立代表處；香港項目涵蓋轉化型學習、社區經濟、氣候韌性與文化社區建設，並與國內外可持續生活網絡互動。</t>
    <phoneticPr fontId="1" type="noConversion"/>
  </si>
  <si>
    <t>中国西南地区（雲南、廣西、四川、貴州、廣東等）</t>
    <phoneticPr fontId="1" type="noConversion"/>
  </si>
  <si>
    <t>北京、上海及香港的区域和全国性项目</t>
    <phoneticPr fontId="1" type="noConversion"/>
  </si>
  <si>
    <t>与可持续生活网络、社区经济和生态农业网络合作</t>
    <phoneticPr fontId="1" type="noConversion"/>
  </si>
  <si>
    <t>主要项目涵盖自然之道、生态农业、社区经济、可持续生活网络和传统知识创新；由嘉道理基金會资助</t>
    <phoneticPr fontId="1" type="noConversion"/>
  </si>
  <si>
    <t>2017年在北京设代表处（北京市东城区朝阳门内大街288号凯德华玺广场），负责中国内地项目</t>
    <phoneticPr fontId="1" type="noConversion"/>
  </si>
  <si>
    <t>香港世界宣明會</t>
    <phoneticPr fontId="1" type="noConversion"/>
  </si>
  <si>
    <t>香港世界宣明會是基督教救援與發展機構。1962年颱風溫黛襲港後宣明會在港派發賑災物資並成立辦事處，1982年轉為籌款辦事處，現為國際宣明會聯會成員。機構透過兒童助養、社區發展、人道救援和公共教育，與兒童、家庭和社區共同對抗貧窮和不公義，支援全球33個國家並在中國內地31省開展扶貧、災害管理等項目，同時推動本地貧窮政策倡議。</t>
    <phoneticPr fontId="1" type="noConversion"/>
  </si>
  <si>
    <t>全球（33个国家及地区）</t>
    <phoneticPr fontId="1" type="noConversion"/>
  </si>
  <si>
    <t>中国内地、香港及澳门</t>
    <phoneticPr fontId="1" type="noConversion"/>
  </si>
  <si>
    <t>国际世界宣明会伙伴关系成员</t>
    <phoneticPr fontId="1" type="noConversion"/>
  </si>
  <si>
    <t>知名项目包括儿童助养、30小时饥饿体验、Barefoot Fun For Good、礼物捐赠目录等</t>
    <phoneticPr fontId="1" type="noConversion"/>
  </si>
  <si>
    <t>在中国内地各省设有项目办公室（世界宣明会中国），在澳门设有世界宣明会协会办公室</t>
    <phoneticPr fontId="1" type="noConversion"/>
  </si>
  <si>
    <t>奎松市（Quezon City）</t>
    <phoneticPr fontId="1" type="noConversion"/>
  </si>
  <si>
    <t>ANGOC是亚洲区域性民间社会网络组织，聚焦土地权利/土地改革、农村发展、粮食安全与可持续农业，并通过研究、能力建设与政策倡导推动以农民与农村社区为中心的制度改进；其成员网络与伙伴在亚洲多国开展工作。</t>
    <phoneticPr fontId="1" type="noConversion"/>
  </si>
  <si>
    <t>国际土地联盟 (International Land Coalition, ILC)：成员（Member since 2003）；联合国经社理事会iCSO系统登记组织（UN DESA iCSO Profile）</t>
    <phoneticPr fontId="1" type="noConversion"/>
  </si>
  <si>
    <t>区域性成员网络：覆盖亚洲多国CSO网络；常见工作产品包括土地权利监测与研究出版物（如相关报告/出版物显示其持续运作）。</t>
    <phoneticPr fontId="1" type="noConversion"/>
  </si>
  <si>
    <t>暂无在华注册代表处。未发现其在中国大陆注册代表处信息；如有涉华活动，多为区域会议/研究交流层面。</t>
    <phoneticPr fontId="1" type="noConversion"/>
  </si>
  <si>
    <t>正常运营（官网可访问且联系方式与出版物信息近年仍在更新/引用）。</t>
    <phoneticPr fontId="1" type="noConversion"/>
  </si>
  <si>
    <t>曼谷（Bangkok）</t>
  </si>
  <si>
    <t>APAARI是亚太地区农业研究机构的区域性网络平台，致力于促进农业科技合作、粮食安全、气候适应型农业创新与可持续农村发展。通过政策对话、研究合作、能力建设与知识共享，加强成员机构之间的合作，支持农业系统转型与区域农业科研协调。</t>
  </si>
  <si>
    <t>研究与知识平台 (Research &amp; Knowledge Platform)</t>
  </si>
  <si>
    <t>全球农业研究论坛 (GFAR, Global Forum on Agricultural Research)；CGIAR合作网络（Consultative Group on International Agricultural Research）</t>
  </si>
  <si>
    <t>总部长期设于泰国农业大学（Kasetsart University）园区内；为亚太农业科研机构协调平台，发布区域农业创新报告与政策简报。</t>
  </si>
  <si>
    <t>正常运营（官网持续更新，2024–2025年发布活动与报告信息）。</t>
  </si>
  <si>
    <t>APPC是亚太地区公益与慈善领域的区域性合作网络，致力于促进跨国慈善合作、企业社会责任发展、公益能力建设与区域知识交流。通过年度会议、研究报告与伙伴合作推动亚太地区公益生态系统建设。</t>
  </si>
  <si>
    <t>公益能力建设平台 (Philanthropy Capacity Platform)</t>
  </si>
  <si>
    <t>槟城（Penang）</t>
  </si>
  <si>
    <t>APRN是亚太地区公共政策与发展议题研究网络，致力于推动以民间社会为基础的政策研究、发展融资监督、企业问责与区域倡导合作。通过联合研究、出版物与区域会议促进成员之间的知识共享与公共政策对话。</t>
  </si>
  <si>
    <t>Reality of Aid Network（真实援助网络）；Asian Peoples’ Movement on Debt and Development（APMDD）等区域合作网络</t>
  </si>
  <si>
    <t>长期发布《Reality of Aid》区域报告，关注发展融资、债务与公共政策问责议题。</t>
  </si>
  <si>
    <t>金边（Phnom Penh）</t>
  </si>
  <si>
    <t>青年发展组织 (Youth Development Organization)</t>
  </si>
  <si>
    <t>世界基督教青年会联盟（World Alliance of YMCAs）；亚洲及太平洋基督教青年会联盟（YMCA Asia and Pacific Alliance）</t>
  </si>
  <si>
    <t>为全球YMCA体系成员组织之一，参与区域青年交流与社区发展项目。</t>
  </si>
  <si>
    <t>正常运营（官网与国际YMCA体系信息显示持续运作）。</t>
  </si>
  <si>
    <t>奎松市（Quezon City）</t>
  </si>
  <si>
    <t>CEC Philippines是菲律宾环境类民间组织，致力于环境保护、气候正义、社区资源权利与生态倡导，通过研究、公众教育与基层动员推动可持续发展与环境政策改革。</t>
  </si>
  <si>
    <t>Climate Justice Alliance Philippines（气候正义联盟菲律宾）；区域气候与环境网络合作平台</t>
  </si>
  <si>
    <t>马卡蒂市（Makati City）</t>
  </si>
  <si>
    <t>Clean Air Asia是致力于改善亚洲城市空气质量的国际非营利组织，通过政策研究、技术支持、能力建设与多方合作，推动交通减排、城市空气质量管理、低碳发展与健康城市建设。</t>
  </si>
  <si>
    <t>技术支持与研究机构 (Technical &amp; Research Organization)</t>
  </si>
  <si>
    <t>Climate and Clean Air Coalition (CCAC)；Partnership for Clean Fuels and Vehicles（清洁燃料与车辆合作伙伴计划）</t>
  </si>
  <si>
    <t>CCC是柬埔寨国家级民间组织平台网络，致力于加强本国公民社会能力建设、促进发展合作协调、提升治理透明度与政策对话质量。通过培训、研究、政策倡导与行业标准制定支持成员组织提升机构治理与项目管理能力。</t>
  </si>
  <si>
    <t>International Forum of National NGO Platforms（Forus）；CIVICUS（世界公民参与联盟）</t>
  </si>
  <si>
    <t>柬埔寨最大的CSO平台之一，发布年度“公民社会可持续发展指数”及治理透明度报告。</t>
  </si>
  <si>
    <t>Lancang-Mekong Development Foundation 是澜沧江—湄公河区域合作框架下的民间发展机构，致力于推动澜湄六国在可持续发展、社区合作、青年交流与区域政策对话方面的合作。通过论坛、研究与项目支持促进跨境理解与区域发展协作。</t>
  </si>
  <si>
    <t>东南亚 (Southeast Asia)</t>
  </si>
  <si>
    <t>新加坡（Singapore）</t>
  </si>
  <si>
    <t>南洋理工大学（NTU）是新加坡公立研究型大学之一，在工程、环境科学、公共政策、可持续发展与人工智能等领域具有国际影响力。通过跨学科研究中心（如地球观测与环境研究中心、南洋公共管理研究生院）推动区域与全球政策对话、科技创新与人才培养。</t>
  </si>
  <si>
    <t>全球大学网络（如Association of Pacific Rim Universities, APRU）；UN Sustainable Development Solutions Network (SDSN)合作成员</t>
  </si>
  <si>
    <t>QS世界大学排名前列高校之一；设有拉惹勒南国际研究院（RSIS, S. Rajaratnam School of International Studies）等研究机构。</t>
  </si>
  <si>
    <t>正常运营（2024–2025年持续发布研究成果与国际合作信息）。</t>
  </si>
  <si>
    <t>加德满都（Kathmandu）</t>
  </si>
  <si>
    <t>Nepal China Academy 是致力于促进尼泊尔与中国之间文化、教育与经贸交流的民间机构，通过学术论坛、语言培训、青年交流与政策研讨活动加强双边民间理解与合作。</t>
  </si>
  <si>
    <t>南亚 (South Asia)</t>
  </si>
  <si>
    <t>政策对话平台 (Policy Dialogue Platform)</t>
  </si>
  <si>
    <t>Open Forum 是一个全球性公民社会倡导平台，推动“CSO发展有效性原则（Istanbul Principles）”的制定与推广，促进民间组织在发展合作中的问责、透明与伙伴关系建设。该平台曾在全球及区域层面开展政策对话、研究与能力建设活动。</t>
  </si>
  <si>
    <t>与Forus、CIVICUS等全球CSO网络合作；发起“Istanbul Principles for CSO Development Effectiveness”（2010）</t>
  </si>
  <si>
    <t>作为全球发展有效性倡导平台，在2010年前后较为活跃，推动民间组织发展有效性原则进入联合国与OECD讨论框架。</t>
  </si>
  <si>
    <t>马尼拉（Manila）</t>
  </si>
  <si>
    <t>Philippine-China Development Resource Center 是促进菲律宾与中国在发展合作、经贸交流与政策研究方面互动的民间机构，通过论坛、研究发布与交流活动推动双边发展对话与资源共享。</t>
  </si>
  <si>
    <t>研究与政策对话平台 (Research &amp; Policy Dialogue Platform)</t>
  </si>
  <si>
    <t>SJ Vietnam（Social Justice Vietnam）为越南本土社会组织，关注社会公平、社区发展与公民参与议题。公开信息较为有限，未检索到完整注册背景与组织架构说明。</t>
    <phoneticPr fontId="1" type="noConversion"/>
  </si>
  <si>
    <t>社区倡导组织 (Community Advocacy Organization)</t>
  </si>
  <si>
    <t>The Reality of Aid Network 是全球南方主导的发展融资与援助监督网络，致力于推动以人权、性别平等与社会公正为核心的发展合作框架。通过发布《Reality of Aid Report》、政策倡导与能力建设活动，加强对官方发展援助（ODA）和发展融资体系的问责与监督。</t>
  </si>
  <si>
    <t>Asia-Pacific Research Network (APRN)；Forus（国际国家级NGO平台论坛）；CIVICUS（世界公民参与联盟）</t>
  </si>
  <si>
    <t>旗舰出版物《Reality of Aid Report》长期关注发展融资、公平贸易与南南合作议题；在全球发展融资对话（如FfD进程）中具有一定影响力。</t>
  </si>
  <si>
    <t>FASID 是日本以国际发展研究与能力建设为核心的公益基金会，长期开展发展政策研究、援助评估、国际合作培训与智库对话活动。曾承担日本政府ODA政策研究与国际发展能力建设项目。</t>
  </si>
  <si>
    <t>日本政府ODA政策研究合作机制（与JICA等合作）；参与OECD-DAC相关政策对话</t>
  </si>
  <si>
    <t>Food for the Hungry Japan 是日本注册的基督教背景国际发展类公益组织，致力于减贫、儿童发展、粮食安全、教育支持与社区能力建设。通过与亚洲及非洲伙伴组织合作开展长期发展项目及紧急人道援助。</t>
  </si>
  <si>
    <t>Food for the Hungry International（全球网络）；参与日本国际NGO合作平台活动</t>
  </si>
  <si>
    <t>Association of Pacific Rim Universities (APRU)；参与联合国可持续发展解决方案网络（SDSN）合作活动</t>
  </si>
  <si>
    <t>ISEP 是日本独立能源政策智库，致力于推动可再生能源发展、能源转型、气候政策研究与地方能源自治。通过政策研究、公众倡导与国际合作促进低碳社会转型。</t>
  </si>
  <si>
    <t>Renewable Energy Policy Network for the 21st Century（REN21，可再生能源政策网络）；Climate Action Network Japan（CAN Japan，日本气候行动网络）</t>
  </si>
  <si>
    <t>JANUS 为关注核裁军与和平研究议题的日本民间倡导与研究平台，公开资料较为有限，未检索到完整法人登记或独立官网信息，推测为学术或倡导合作机制。</t>
  </si>
  <si>
    <t>JACO 是日本公益法人及非营利组织的行业支持与政策倡导平台，致力于推动公益法人制度完善、治理透明度提升与行业自律规范建设。通过政策建议、研究发布与行业交流促进日本公益领域发展。</t>
  </si>
  <si>
    <t>JBIC 是日本政府全资政策性金融机构，主要通过贷款、担保与投资支持日本企业海外发展、能源资源合作、基础设施建设及国际金融稳定。其职能包括支持官方发展融资与对外经济合作。</t>
  </si>
  <si>
    <t>日本国际合作非政府组织中心</t>
    <phoneticPr fontId="1" type="noConversion"/>
  </si>
  <si>
    <t>日本</t>
    <phoneticPr fontId="1" type="noConversion"/>
  </si>
  <si>
    <t>东京</t>
    <phoneticPr fontId="1" type="noConversion"/>
  </si>
  <si>
    <t>JANIC 的主要职能是作为日本国内NGO的支援平台。主要业务包括促进全球问题的解决，通过联合和支持超过100个民间社会组织（CSOs），致力于消除全球贫困、不平等和不公正，最大化成员的优势。JANIC的主要活动领域涵盖政策建议与宣传、促进合作以及强化非政府组织的组织能力。此外，该中心还通过传播国际合作知识、实施研究与倡导活动、促进学习与教育等方式，推动全球公民社会的发展。JANIC还积极参与与联合国机构、政府机构、地方政府及私营组织的合作，以实现其目标。</t>
    <phoneticPr fontId="1" type="noConversion"/>
  </si>
  <si>
    <t>本国 
(Domestic)</t>
  </si>
  <si>
    <t>东亚 (East Asia)
东南亚 (Southeast Asia)
南亚 (South Asia)
东非 (East Africa)</t>
    <phoneticPr fontId="1" type="noConversion"/>
  </si>
  <si>
    <t>Aoi HORIUCHI 
堀内葵 (Mr.)</t>
    <phoneticPr fontId="1" type="noConversion"/>
  </si>
  <si>
    <t>[Forus国际组织] (全球公民社会联盟，原IFP)
[亚洲开发联盟 (ADA)] &amp; [亚洲民主主义网络 (ADN)] (亚洲区域合作机制)
[GCNJ] (联合国全球契约日本分支)
[C7/C20工作组] (G7/G20配套公民社会对话平台)
[亚洲开发银行-NGO合作机制] (政策倡导渠道)
[庭野平和基金会网络] (跨国和平建设项目资助方)</t>
    <phoneticPr fontId="1" type="noConversion"/>
  </si>
  <si>
    <t>JANIC的会员组织（如日本国际志愿中心[JVC]、Peace Winds等）或在海外开展项目，但JANIC本身不直接运营。在紧急人道主义救援（如地震、冲突）时，JANIC可能协调日本NGO参与国际响应，但属于临时性行动。</t>
    <phoneticPr fontId="1" type="noConversion"/>
  </si>
  <si>
    <t>暂无在华注册代表处</t>
    <phoneticPr fontId="1" type="noConversion"/>
  </si>
  <si>
    <t>民促会多次赴日与JANIC进行拜访交流，JANIC也多次协助安排中国NGO团组访日行程。
2024年，曾邀请JANIC理事Hideki作为国际专家参加乐施会项目线上C20宣介会并发言。</t>
    <phoneticPr fontId="1" type="noConversion"/>
  </si>
  <si>
    <t>JICA 是日本政府的官方发展援助（ODA）执行机构，负责技术合作、有偿与无偿资金援助、发展研究及人力资源培养等国际合作事务。其业务涵盖基础设施建设、公共卫生、教育、农业、气候变化与灾害风险管理等领域。</t>
  </si>
  <si>
    <t>与OECD-DAC（经济合作与发展组织发展援助委员会）相关机制合作；参与多边发展合作网络</t>
  </si>
  <si>
    <t>JIVRI 为关注志愿服务与公民参与研究的日本民间机构或研究平台，公开信息较为有限，未检索到完整法人登记信息或稳定官方网站，推测为研究或倡导型组织。</t>
  </si>
  <si>
    <t>日本关西NPO联盟为关西地区民间组织协作平台，致力于促进区域内非营利组织合作、信息共享、能力建设与政策对话。公开资料较为有限，主要服务于日本关西地区公民社会发展。</t>
  </si>
  <si>
    <t>区域性NPO协作网络，公开信息较少。</t>
  </si>
  <si>
    <t>Japan Platform（JPF）是日本政府、企业与NGO三方合作的人道援助协调平台，主要在自然灾害、冲突与紧急危机情境下整合资金与项目执行资源，支持日本NGO开展国际人道援助行动。</t>
  </si>
  <si>
    <t>与日本外务省（MOFA）合作；成员包括多家日本国际NGO</t>
  </si>
  <si>
    <t>Keidanren Committee on Nature Conservation 是日本经济团体联合会（Keidanren）旗下自然保护专项基金，主要通过资助项目支持生物多样性保护、生态修复与环境研究，推动企业参与自然保护与可持续发展。</t>
  </si>
  <si>
    <t>隶属于Keidanren（日本经济团体联合会，日本最大企业联合组织）</t>
  </si>
  <si>
    <t>KOICA 是韩国政府官方发展援助（ODA）执行机构，负责技术合作、无偿援助、人力资源发展与发展研究等事务。其项目涵盖教育、卫生、数字转型、气候变化、农业与治理能力建设等领域。</t>
  </si>
  <si>
    <t>参与OECD-DAC机制；与联合国机构及多边开发银行合作</t>
  </si>
  <si>
    <t>韩国志愿服务论坛（KVF）是韩国志愿服务领域的全国性网络平台，致力于推动志愿服务政策研究、能力建设与国际交流合作。通过论坛、研究报告与培训项目促进公民参与和社会责任实践。</t>
  </si>
  <si>
    <t>KoFID 是韩国国际发展合作领域的全国性民间组织网络，致力于推动韩国ODA政策透明、发展有效性原则落实与公民社会参与。通过政策倡导、研究发布与多边对话，参与韩国政府发展合作政策制定与监督。</t>
  </si>
  <si>
    <t>Forus（国际国家级NGO平台论坛）；Reality of Aid Network（真实援助网络）；参与OECD-DAC民间对话机制</t>
  </si>
  <si>
    <t>KCOC 是韩国海外发展合作领域的全国性NGO网络平台，协调成员组织参与国际发展合作与人道援助项目，推动政策倡导、能力建设与行业标准制定。</t>
  </si>
  <si>
    <t>Forus（国际国家级NGO平台论坛）；参与韩国ODA政策协商机制；与KoFID等韩国发展网络合作</t>
  </si>
  <si>
    <t>Korean Sharing Movement 是韩国宗教背景的人道与发展组织，致力于对朝鲜及其他发展中国家开展人道援助、医疗支持与社区发展项目，同时推动和平与社会正义倡导。</t>
  </si>
  <si>
    <t>Niwano Peace Foundation 是日本以宗教间对话与和平建设为核心使命的公益基金会，致力于推动宗教合作、冲突调解与社会和解。其旗舰项目包括“庭野和平奖”（Niwano Peace Prize），表彰在和平与跨宗教合作领域作出贡献的个人或机构。</t>
  </si>
  <si>
    <t>NARPI 是东北亚地区和平建设培训与对话平台，通过年度夏季学院、培训课程与区域交流促进青年与实践者在冲突转化、和平研究与社会对话领域的能力建设。</t>
  </si>
  <si>
    <t>Peace Boat 是日本国际非政府组织，通过“和平船”环球航行项目推动和平教育、可持续发展倡导、气候行动与全球公民交流。长期与联合国机构及国际网络合作，开展核裁军、气候正义与青年赋权相关活动。</t>
  </si>
  <si>
    <t>联合国经社理事会（ECOSOC）咨商地位；Climate Action Network（CAN）；参与联合国可持续发展机制</t>
  </si>
  <si>
    <t>1914（前身），1994（大学建制）</t>
  </si>
  <si>
    <t>BNN 是日本佛教背景NGO的协作平台，致力于推动宗教界参与国际发展合作、人道援助与社会正义议题。通过信息共享、政策对话与能力建设促进成员组织参与全球议题。</t>
  </si>
  <si>
    <t>The Japan Foundation 是日本政府设立的独立行政法人，负责日本文化、语言与国际学术交流推广工作。主要通过文化项目资助、日语教育支持、智库对话与艺术交流推动国际理解与合作。</t>
  </si>
  <si>
    <t>The SASAKAWA Japan-China Friendship Fund 是由日本笹川和平财团设立的专项基金，旨在促进日中两国在学术、青年、政策对话与社会交流方面的合作与理解。通过资助研究、论坛与人员交流项目加强双边民间联系。</t>
  </si>
  <si>
    <t>隶属于The Sasakawa Peace Foundation（日本笹川和平财团）</t>
  </si>
  <si>
    <t>The Sasakawa Peace Foundation 是日本大型公益基金会，致力于国际和平、海洋政策、安全研究、社会创新与女性赋权等议题。通过研究资助、政策对话、国际会议与项目支持促进亚太及全球治理合作。</t>
  </si>
  <si>
    <t>设有Sasakawa USA（美国子机构）；参与亚太安全与海洋治理网络</t>
  </si>
  <si>
    <t>Areopagos 是一家挪威宗教背景非营利组织，致力于跨宗教对话、人权、社会公正与和平建设，在亚洲与北欧长期开展项目，强调信仰对话与公民社会参与。</t>
  </si>
  <si>
    <t>世界基督教会联合会（WCC）；参与北欧教会合作网络</t>
  </si>
  <si>
    <t>ATD Fourth World 是国际性反贫困运动组织，致力于消除极端贫困与社会排斥，通过基层参与、政策倡导与研究推动社会公正。总部在法国，在比利时布鲁塞尔设有欧洲事务办公室。</t>
  </si>
  <si>
    <t>联合国经社理事会咨商地位（ECOSOC）；欧洲反贫困网络（EAPN）成员</t>
  </si>
  <si>
    <t>1974（2013年并入DFAT）</t>
  </si>
  <si>
    <t>AusAID 曾为澳大利亚政府负责对外援助的机构，2013年并入澳大利亚外交与贸易部（DFAT），不再作为独立机构存在，其援助职能现由DFAT执行。</t>
  </si>
  <si>
    <t>已无独立官网（现并入 https://www.dfat.gov.au）</t>
  </si>
  <si>
    <t>OECD-DAC 成员；多边援助体系成员</t>
  </si>
  <si>
    <t>Bread for All 是瑞士新教教会背景的发展与倡导组织，关注全球公平贸易、企业责任、粮食安全与气候正义议题。2022年与“Fastenopfer”合并为“HEKS/EPER与Fastenaktion新架构”，品牌逐步整合。</t>
  </si>
  <si>
    <t>原官网已整合（现为 https://www.brot-fuer-alle.ch 重定向）</t>
  </si>
  <si>
    <t>CAN Europe 是欧洲最大的气候与能源倡导网络，汇聚170余家成员组织，推动欧盟及成员国气候政策改革，倡导减排目标、能源转型与气候正义。</t>
  </si>
  <si>
    <t>Climate Action Network International（CAN国际网络）；参与UNFCCC民间机制</t>
  </si>
  <si>
    <t>CARE International 是全球性人道与发展组织，专注于消除贫困、性别平等、人道援助与气候适应。通过成员网络在全球实施社区发展与紧急救援项目。</t>
  </si>
  <si>
    <t>联合国经社理事会（ECOSOC）咨商地位；InterAction成员；参与全球人道协调机制</t>
  </si>
  <si>
    <t>Caritas Australia 是天主教背景的国际发展与人道援助组织，致力于减贫、气候正义、粮食安全与紧急救援。通过与本地伙伴合作，在亚太、非洲与中东地区实施发展项目。</t>
  </si>
  <si>
    <t>Caritas Internationalis（国际明爱联盟）；澳大利亚国际发展委员会（ACFID）成员</t>
  </si>
  <si>
    <t>Caritas Denmark 是天主教背景的人道与发展组织，开展减贫、紧急救援、气候适应与社会包容项目。通过与当地伙伴合作，在非洲、中东与亚洲实施发展与人道援助计划。</t>
  </si>
  <si>
    <t>Caritas Internationalis（国际明爱联盟）；参与丹麦发展合作网络</t>
  </si>
  <si>
    <t>Center for Environment（CZZS）是波黑本土环保组织，致力于生物多样性保护、气候倡导、公众参与与可持续发展教育。通过研究、倡导与社区项目推动环境政策改进。</t>
  </si>
  <si>
    <t>Bankwatch Network成员；参与欧盟环境倡导网络</t>
  </si>
  <si>
    <t>CESIE 是意大利非营利组织，致力于社会创新、教育改革、青年发展、移民融合与欧洲合作项目。通过欧盟资助项目（如Erasmus+）开展能力建设与政策倡导活动。</t>
  </si>
  <si>
    <t>Erasmus+合作网络；欧洲公民社会合作平台</t>
  </si>
  <si>
    <t>CODESPA 是西班牙国际发展基金会，致力于通过可持续生计、包容性金融、职业培训与私营部门合作促进减贫。强调与企业合作推动市场导向型发展。</t>
  </si>
  <si>
    <t>西班牙发展NGO协调平台成员；参与欧盟发展合作机制</t>
  </si>
  <si>
    <t>CONCORD 是欧洲发展与人道NGO的联合平台，汇集超过2,600家组织，通过政策倡导与研究影响欧盟发展政策与对外援助方向。</t>
  </si>
  <si>
    <t>与欧盟机构对话机制；成员包括CARE Europe、Caritas Europa等网络</t>
  </si>
  <si>
    <t>DIHR 是丹麦国家人权机构（NHRI），依据联合国《巴黎原则》设立，致力于人权研究、政策建议、企业人权与法治建设。通过技术援助与国际合作支持各国人权体系建设。</t>
  </si>
  <si>
    <t>全球国家人权机构联盟（GANHRI）；联合国人权机制合作机构</t>
  </si>
  <si>
    <t>European Commission 是欧盟执行机构，负责欧盟立法提案、政策执行及对外合作与发展援助。通过“Global Europe”等机制推动国际发展合作、气候行动与人权政策。</t>
  </si>
  <si>
    <t>欧盟执行机构；管理欧盟对外援助工具（NDICI-Global Europe）</t>
  </si>
  <si>
    <t>Fern 是总部位于布鲁塞尔的非营利倡导组织，专注于森林治理、气候政策、生物多样性与欧盟贸易政策对森林影响。通过研究与政策倡导影响欧盟立法。</t>
    <phoneticPr fontId="1" type="noConversion"/>
  </si>
  <si>
    <t>Formaper 是米兰商会下属培训与能力建设机构，致力于为企业提供管理培训、国际化支持、创业辅导及职业教育服务，重点服务中小企业与企业家发展。</t>
  </si>
  <si>
    <t>公开资料显示该基金为ING集团（ING Group）与中国人民对外友好协会（CPAFFC）合作设立的专项公益基金，但未找到独立法人注册信息或持续运营记录。</t>
  </si>
  <si>
    <t>ICFO 是一个国际联盟组织，汇集全球大型人道与发展类筹款组织，旨在制定共同道德标准、加强筹款透明度与行业自律。</t>
  </si>
  <si>
    <t>IUCN 是全球最大的自然保护联盟，汇集政府机构与民间组织成员，推动生物多样性保护、生态系统治理、气候行动与可持续发展政策。通过科学评估（如《红色名录》）与多边倡导发挥影响力。</t>
  </si>
  <si>
    <t>Mama Cash 是全球最早的女性主义基金会之一，专注于资助妇女、女孩、跨性别与双性人权利组织，支持基层女性主义运动与社会正义倡导。</t>
  </si>
  <si>
    <t>Oxfam Novib 是乐施会国际（Oxfam International）成员组织之一，致力于减贫、性别平等、气候正义与人道援助，通过倡导与伙伴合作推动社会公正。</t>
  </si>
  <si>
    <t>ARAS 是罗马尼亚非营利组织，致力于艾滋病防治、公共卫生教育、弱势群体支持与人权倡导，开展检测、咨询与社会融合项目。</t>
  </si>
  <si>
    <t>Südwind 是奥地利专注于全球发展、公平贸易与教育倡导的非营利组织。其核心工作包括推动全球供应链公平、企业责任与可持续消费倡导，通过政策研究、公众教育和青年参与项目提高社会对全球不平等与气候变化议题的认知。Südwind 在奥地利多地设有教育与倡导办公室，并积极参与欧盟层面的发展政策讨论。</t>
  </si>
  <si>
    <t>FPH 是瑞士私人基金会，致力于推动全球治理创新、生态转型、社会公正与公民社会能力建设。其工作重点包括支持跨区域公民社会网络建设、推动生态与经济模式转型、促进全球政策对话与知识共享。基金会通过战略资助与长期伙伴关系，支持基层组织与政策倡导项目，尤其关注多边治理改革与社会创新实践。</t>
  </si>
  <si>
    <t>DCHR 原为丹麦国家人权机构，依据联合国《巴黎原则》设立，负责推动国内外人权研究、政策建议与能力建设。2002年DCHR与丹麦发展研究中心（CDR, Centre for Development Research）合并，成立现今的 Danish Institute for Human Rights（DIHR）。因此，DCHR不再作为独立法人存在，其职能已由DIHR继承。</t>
  </si>
  <si>
    <t>Wild Geese Foundation 是荷兰非营利资助机构，致力于支持发展中国家的基层社区项目。其主要模式为与荷兰本地公民团体合作，共同筹资支持全球南方的教育、卫生、清洁饮水与社区发展项目。基金会强调伙伴关系与共同筹款机制，支持小规模、社区驱动型项目，注重透明度与长期影响。</t>
  </si>
  <si>
    <t>WCC 是全球性基督教教会联盟，汇集120多个国家的教会成员，致力于推动宗教对话、社会公正、和平与生态正义。其核心工作包括跨宗派合作、人权倡导、冲突调解、气候与生态行动，以及全球南方发展议题。WCC 通过大会、政策声明、全球网络与联合国机制参与国际事务，尤其在气候变化、难民保护与社会包容方面具有长期倡导传统。</t>
  </si>
  <si>
    <t>WRF 是国际性农村发展与家庭农业倡导网络，致力于推动家庭农场、农村社区与农业可持续发展政策。其核心工作包括支持农民组织能力建设、推动联合国“家庭农业十年”议程（2019–2028）、参与粮食系统与农业政策倡导，以及促进南南合作与多方对话。WRF 通过全球与区域网络连接农民组织、合作社与发展机构，强调农村社区在全球粮食安全与气候适应中的关键角色。</t>
  </si>
  <si>
    <t>1996（中国项目启动）</t>
  </si>
  <si>
    <t>WWF China 是世界自然基金会（WWF）在中国的项目办公室，致力于生物多样性保护、气候与能源转型、可持续农业与林业、绿色金融与企业可持续发展等议题。其工作方式包括政策研究、试点示范项目、企业合作、公众倡导与国际合作。WWF China 在自然保护地建设、物种保护（如大熊猫）、气候政策倡导与绿色供应链方面具有长期实践经验，并积极参与联合国生物多样性与气候治理进程。</t>
  </si>
  <si>
    <t>YouNet 是意大利非营利青年组织，致力于推动青年参与、公民教育、社会创新与跨文化交流。其主要工作包括参与欧盟 Erasmus+ 等项目，组织国际青年交流、培训课程与志愿服务项目，支持青年在就业能力、社会包容与民主参与方面的发展。YouNet 强调跨国合作网络建设，并通过能力建设项目支持青年组织提升项目管理与国际合作能力。</t>
  </si>
  <si>
    <t>正常运营</t>
    <phoneticPr fontId="1" type="noConversion"/>
  </si>
  <si>
    <t xml:space="preserve">正常运营，
官方网站（bread.org）有2024-2025年的报告和活动，包括饥饿政策分析和人道主义援助项目。2025年德国分部（Brot für die Welt）开展全国性水资源和粮食安全活动。 
</t>
    <phoneticPr fontId="1" type="noConversion"/>
  </si>
  <si>
    <t>正常运营，作为Friends of the Earth International的一部分，拥有超过65万成员和支持者。2025-2026年参与欧盟环境政策辩论和抗议活动，包括反对污染和支持可持续发展的游行。</t>
    <phoneticPr fontId="1" type="noConversion"/>
  </si>
  <si>
    <t xml:space="preserve">正常运营，
全球网络覆盖130多个国家、1900多个成员组织。2026年1月发布声明和活动，包括应对气候危机和联合国气候谈判的参与。 
</t>
    <phoneticPr fontId="1" type="noConversion"/>
  </si>
  <si>
    <t xml:space="preserve">正常运营，德国最大的福利组织，拥有约70万员工和志愿者，运营2.5万多个设施。2022年数据更新显示服务1300万人，2026年仍在德国多个地区开展社会援助和建设项目。 
</t>
    <phoneticPr fontId="1" type="noConversion"/>
  </si>
  <si>
    <t xml:space="preserve">正常运营，国际残疾人权益组织，在46个国家支持492个项目。2026年1月任命新董事会成员，并继续乌克兰等人道主义援助计划。 
</t>
    <phoneticPr fontId="1" type="noConversion"/>
  </si>
  <si>
    <t>Lancang-Mekong Development Foundation</t>
    <phoneticPr fontId="1" type="noConversion"/>
  </si>
  <si>
    <t>Philippine-China Development Resource Center</t>
    <phoneticPr fontId="1" type="noConversion"/>
  </si>
  <si>
    <t>East Asia Climate Network</t>
    <phoneticPr fontId="1" type="noConversion"/>
  </si>
  <si>
    <t>Japan Alliance for Nuclear Weapons Abolition Studies</t>
    <phoneticPr fontId="1" type="noConversion"/>
  </si>
  <si>
    <t>Japan Association of Charitable Organizations</t>
    <phoneticPr fontId="1" type="noConversion"/>
  </si>
  <si>
    <t>Japan International Institute for Volunteering Research</t>
    <phoneticPr fontId="1" type="noConversion"/>
  </si>
  <si>
    <t>Japan Kansai NPO Alliance</t>
    <phoneticPr fontId="1" type="noConversion"/>
  </si>
  <si>
    <t>Kyoto Saga University of Arts</t>
    <phoneticPr fontId="1" type="noConversion"/>
  </si>
  <si>
    <t>Formaper – Agency of Milan Chamber of Commerce, Industry, Handcraft and Agriculture</t>
    <phoneticPr fontId="1" type="noConversion"/>
  </si>
  <si>
    <t>Mama Cash</t>
    <phoneticPr fontId="1" type="noConversion"/>
  </si>
  <si>
    <t>无合作 (No Cooperation)</t>
    <phoneticPr fontId="1" type="noConversion"/>
  </si>
  <si>
    <t xml:space="preserve">正常运营：官方网站（thelmdf.org）已更新并活跃；参与2025-2026年Lancang-Mekong Cooperation (LMC) 活动，包括区域合作项目和战略计划支持（如MI Strategic Plan 2026-2030的关联框架）。
</t>
    <phoneticPr fontId="1" type="noConversion"/>
  </si>
  <si>
    <t xml:space="preserve">正常运营：网站（ncfa.org.np）显示新网站建设中并有近期活动记录；持续开展在线中文课程、Nepal-China关系促进活动（如2025-2026年语言项目和大使馆支持事件）。
</t>
    <phoneticPr fontId="1" type="noConversion"/>
  </si>
  <si>
    <t xml:space="preserve">正常运营：虽无独立网站直接更新，但与中菲双边政治对话、经济合作框架相关联；2026年中菲高层会晤和资源开发讨论持续进行。
</t>
    <phoneticPr fontId="1" type="noConversion"/>
  </si>
  <si>
    <t xml:space="preserve">正常运营：越南社会正义与包容性发展政策持续推进；2026年联合国人权理事会参与、就业法实施和社会发展报告中体现相关倡议。
</t>
    <phoneticPr fontId="1" type="noConversion"/>
  </si>
  <si>
    <t xml:space="preserve">正常运营：作为EANET（Acid Deposition Monitoring Network in East Asia），网站（eanet.asia）活跃；2026年工作计划、监测数据发布和Medium-Term Plan 2026-2030已批准并实施。
</t>
    <phoneticPr fontId="1" type="noConversion"/>
  </si>
  <si>
    <t xml:space="preserve">正常运营：活跃于核裁军运动相关团体（如日本消除核武器运动）;2026年举办集会、放映及国家安全战略提案。
</t>
    <phoneticPr fontId="1" type="noConversion"/>
  </si>
  <si>
    <t xml:space="preserve">正常运营：日本慈善领域活动持续（如大阪马拉松慈善主题、WWF日本等公益团体报告）；2026年慈善组织支持和活动框架正常运行。
</t>
    <phoneticPr fontId="1" type="noConversion"/>
  </si>
  <si>
    <t xml:space="preserve">正常运营：官方网站（janic.org）更新频繁；2025-2026年举办Global Summit Watch Webinar、C7 Handover Event等活动，支持日本NGO国际合作网络。
</t>
    <phoneticPr fontId="1" type="noConversion"/>
  </si>
  <si>
    <t xml:space="preserve">正常运营：志愿研究和非营利活动持续；参与2026年志愿者机会和相关研究项目。
</t>
    <phoneticPr fontId="1" type="noConversion"/>
  </si>
  <si>
    <t xml:space="preserve">正常运营：关西地区NPO伞状组织活跃；与选举、政治联盟和非营利支持相关活动持续。
</t>
    <phoneticPr fontId="1" type="noConversion"/>
  </si>
  <si>
    <t xml:space="preserve">正常运营：大学网站更新，提供艺术教育课程；2026年入学和国际文化活动稳定进行。
</t>
    <phoneticPr fontId="1" type="noConversion"/>
  </si>
  <si>
    <t xml:space="preserve">正常运营：2026年工作计划发布，优先处理气候、数字转型和安全议题；政策制定和执行持续。
</t>
    <phoneticPr fontId="1" type="noConversion"/>
  </si>
  <si>
    <t xml:space="preserve">正常运营：米兰商会下属机构，提供培训和就业项目；2025-2026年Integra项目支持移民就业。
</t>
    <phoneticPr fontId="1" type="noConversion"/>
  </si>
  <si>
    <t xml:space="preserve">正常运营：2026年暂停部分新基金申请，但Resilience Fund现有伙伴支持继续；Spark和Solidarity Fund开放申请。
</t>
    <phoneticPr fontId="1" type="noConversion"/>
  </si>
  <si>
    <t>美洲</t>
    <phoneticPr fontId="1" type="noConversion"/>
  </si>
  <si>
    <t>Albert Kunstadter Family Foundation 美国孔思德家族基金会</t>
    <phoneticPr fontId="1" type="noConversion"/>
  </si>
  <si>
    <t>ADRA Canada</t>
  </si>
  <si>
    <t>American Bar Association (ABA) 美国律师协会</t>
  </si>
  <si>
    <t>Asia Foundation</t>
  </si>
  <si>
    <t>Bill &amp; Melinda Gates Foundation 比尔和梅琳达盖茨基金会</t>
  </si>
  <si>
    <t>Business Social Responsibility (BSR), USA</t>
  </si>
  <si>
    <t>Canadian International Development Agency</t>
  </si>
  <si>
    <t>Carnegie Mellon University, USA</t>
  </si>
  <si>
    <t>Environmental Defense (USA) 美国环保协会</t>
  </si>
  <si>
    <t>Family Health International</t>
  </si>
  <si>
    <t>Ford Foundation</t>
  </si>
  <si>
    <t>Forum for a new World Governance, Chile</t>
  </si>
  <si>
    <t>Foundation for International Training, Canada (FIT)</t>
  </si>
  <si>
    <t>Give2Asia, USA</t>
  </si>
  <si>
    <t>Green Peace</t>
  </si>
  <si>
    <t>Ibase, Brazil</t>
  </si>
  <si>
    <t>Independent Sector, USA</t>
  </si>
  <si>
    <t>InterAction, USA</t>
  </si>
  <si>
    <t>International Rivers Network 国际河流</t>
  </si>
  <si>
    <t>NASDAQ Foundation</t>
  </si>
  <si>
    <t>National Democratic Institute, USA</t>
  </si>
  <si>
    <t>Network for Democracy and Equity, Argentina</t>
  </si>
  <si>
    <t>OAK Foundation USA 美国橡树基金会</t>
  </si>
  <si>
    <t>Pepperdine University 美国培普丹大学</t>
  </si>
  <si>
    <t>Plan International 国际计划</t>
  </si>
  <si>
    <t>The Citizen Movement on Climate Change, Peru</t>
  </si>
  <si>
    <t>The Conference Board</t>
  </si>
  <si>
    <t>The Energy Foundation</t>
  </si>
  <si>
    <t>The Rockefeller Brothers Fund</t>
  </si>
  <si>
    <t>The UPS Foundation</t>
  </si>
  <si>
    <t>The US-China Business Council</t>
  </si>
  <si>
    <t>UNDP</t>
  </si>
  <si>
    <t>UN Women 联合国妇女署</t>
  </si>
  <si>
    <t>UN International Children&amp;Emergency Fund (UNICEF) 联合国儿基会</t>
  </si>
  <si>
    <t>United Way International (UWI)</t>
  </si>
  <si>
    <t>USA Embassy in China</t>
  </si>
  <si>
    <t>US-China Legal Cooperation Fund</t>
  </si>
  <si>
    <t>Wild Aid, USA</t>
  </si>
  <si>
    <t>World Bank</t>
  </si>
  <si>
    <t>中亚</t>
    <phoneticPr fontId="1" type="noConversion"/>
  </si>
  <si>
    <t>Civic Initiatives Support Centre 乌兹别克公民意愿支持中心</t>
  </si>
  <si>
    <t>Feminist League 哈萨克斯坦女性联盟</t>
  </si>
  <si>
    <t>ADRA</t>
  </si>
  <si>
    <t>基督复临安息日会发展与救济署（加拿大）</t>
  </si>
  <si>
    <t>加拿大</t>
  </si>
  <si>
    <t>纽卡斯尔（Newcastle, Ontario）</t>
  </si>
  <si>
    <t>灾害风险与人道援助 (Humanitarian Aid &amp; DRR)</t>
  </si>
  <si>
    <t>https://adra.ca/</t>
  </si>
  <si>
    <t>暂无在华注册代表处</t>
  </si>
  <si>
    <t>正常运营</t>
  </si>
  <si>
    <t>美国</t>
  </si>
  <si>
    <t>ABA</t>
  </si>
  <si>
    <t>美国律师协会</t>
  </si>
  <si>
    <t>芝加哥（Chicago）</t>
  </si>
  <si>
    <t>法治与民主治理 (Rule of Law &amp; Governance)</t>
  </si>
  <si>
    <t>人权与公民空间 (Human Rights &amp; Civic Space)</t>
  </si>
  <si>
    <t>https://www.americanbar.org/</t>
  </si>
  <si>
    <t>The Asia Foundation</t>
  </si>
  <si>
    <t>TAF</t>
  </si>
  <si>
    <t>亚洲基金会</t>
  </si>
  <si>
    <t>旧金山（San Francisco）</t>
  </si>
  <si>
    <t>info.sf@asiafoundation.org</t>
  </si>
  <si>
    <t>https://asiafoundation.org/</t>
  </si>
  <si>
    <t>+1-415-982-4640</t>
  </si>
  <si>
    <t>Gates Foundation</t>
  </si>
  <si>
    <t>西雅图（Seattle）</t>
  </si>
  <si>
    <t>https://www.gatesfoundation.org/</t>
  </si>
  <si>
    <t>+1-206-709-3400</t>
  </si>
  <si>
    <t>BSR</t>
  </si>
  <si>
    <t>企业社会责任组织（BSR）</t>
  </si>
  <si>
    <t>企业可持续与ESG (Corporate Sustainability &amp; ESG)</t>
  </si>
  <si>
    <t>https://www.bsr.org/</t>
  </si>
  <si>
    <t>CIDA</t>
  </si>
  <si>
    <t>加拿大国际开发署</t>
  </si>
  <si>
    <t>加蒂诺（Gatineau, Quebec）</t>
  </si>
  <si>
    <t>政府机构 (Government Agency)</t>
  </si>
  <si>
    <t>发展援助与减贫 (Development Aid &amp; Poverty Reduction)</t>
  </si>
  <si>
    <t>Carnegie Mellon University</t>
  </si>
  <si>
    <t>CMU</t>
  </si>
  <si>
    <t>卡内基梅隆大学</t>
  </si>
  <si>
    <t>高校/教育机构 (University)</t>
  </si>
  <si>
    <t>教育与科研 (Education &amp; Research)</t>
  </si>
  <si>
    <t>https://www.cmu.edu/</t>
  </si>
  <si>
    <t>+1-412-268-2000</t>
  </si>
  <si>
    <t>Environmental Defense Fund</t>
  </si>
  <si>
    <t>EDF</t>
  </si>
  <si>
    <t>倡导型机构 (Advocacy Organization)</t>
  </si>
  <si>
    <t>https://www.edf.org/</t>
  </si>
  <si>
    <t>FHI 360</t>
  </si>
  <si>
    <t>https://www.fhi360.org/</t>
  </si>
  <si>
    <t>+1-919-544-7040</t>
  </si>
  <si>
    <t>福特基金会</t>
  </si>
  <si>
    <t>社会公平与包容 (Equity &amp; Inclusion)</t>
  </si>
  <si>
    <t>https://www.fordfoundation.org/</t>
  </si>
  <si>
    <t>+1-212-573-5000</t>
  </si>
  <si>
    <t>Give2Asia</t>
  </si>
  <si>
    <t>全球伙伴关系与资源动员 (Partnerships &amp; Resource Mobilization)</t>
  </si>
  <si>
    <t>info@give2asia.org</t>
  </si>
  <si>
    <t>https://give2asia.org/</t>
  </si>
  <si>
    <t>+1-415-967-6300</t>
  </si>
  <si>
    <t>Greenpeace</t>
  </si>
  <si>
    <t>绿色和平</t>
  </si>
  <si>
    <t>荷兰</t>
  </si>
  <si>
    <t>海洋与生物多样性 (Oceans &amp; Biodiversity)</t>
  </si>
  <si>
    <t>https://www.greenpeace.org/</t>
  </si>
  <si>
    <t>IBASE</t>
  </si>
  <si>
    <t>巴西社会与经济分析研究所</t>
  </si>
  <si>
    <t>巴西</t>
  </si>
  <si>
    <t>里约热内卢（Rio de Janeiro）</t>
  </si>
  <si>
    <t>https://www.ibase.br/</t>
  </si>
  <si>
    <t>Independent Sector</t>
  </si>
  <si>
    <t>IS</t>
  </si>
  <si>
    <t>华盛顿（Washington, DC）</t>
  </si>
  <si>
    <t>info@independentsector.org</t>
  </si>
  <si>
    <t>https://independentsector.org/</t>
  </si>
  <si>
    <t>+1-202-467-6100</t>
  </si>
  <si>
    <t>InterAction</t>
  </si>
  <si>
    <t>https://www.interaction.org/</t>
  </si>
  <si>
    <t>International Rivers</t>
  </si>
  <si>
    <t>IR</t>
  </si>
  <si>
    <t>contact@internationalrivers.org</t>
  </si>
  <si>
    <t>https://www.internationalrivers.org/</t>
  </si>
  <si>
    <t>+1-510-848-1155</t>
  </si>
  <si>
    <t>NDI</t>
  </si>
  <si>
    <t>https://www.ndi.org/</t>
  </si>
  <si>
    <t>+1-202-728-5500</t>
  </si>
  <si>
    <t>橡树基金会</t>
  </si>
  <si>
    <t>瑞士</t>
  </si>
  <si>
    <t>儿童与青少年 (Children &amp; Youth)</t>
  </si>
  <si>
    <t>https://oakfnd.org/</t>
  </si>
  <si>
    <t>Pepperdine University</t>
  </si>
  <si>
    <t>培普丹大学</t>
  </si>
  <si>
    <t>https://www.pepperdine.edu/</t>
  </si>
  <si>
    <t>Plan International</t>
  </si>
  <si>
    <t>Plan</t>
  </si>
  <si>
    <t>沃金（Woking, Surrey）</t>
  </si>
  <si>
    <t>https://plan-international.org/</t>
  </si>
  <si>
    <t>TCB</t>
  </si>
  <si>
    <t>https://www.conference-board.org/</t>
  </si>
  <si>
    <t>+1-212-759-0900</t>
  </si>
  <si>
    <t>EF</t>
  </si>
  <si>
    <t>能源转型与减排 (Energy Transition &amp; Mitigation)</t>
  </si>
  <si>
    <t>https://www.ef.org/</t>
  </si>
  <si>
    <t>+1-415-561-6700</t>
  </si>
  <si>
    <t>RBF</t>
  </si>
  <si>
    <t>洛克菲勒兄弟基金会</t>
  </si>
  <si>
    <t>info@rbf.org</t>
  </si>
  <si>
    <t>https://www.rbf.org/</t>
  </si>
  <si>
    <t>+1-212-812-4200</t>
  </si>
  <si>
    <t>UPS Foundation</t>
  </si>
  <si>
    <t>UPS基金会</t>
  </si>
  <si>
    <t>+1-404-828-6000</t>
  </si>
  <si>
    <t>USCBC</t>
  </si>
  <si>
    <t>美中贸易全国委员会</t>
  </si>
  <si>
    <t>https://www.uschina.org/</t>
  </si>
  <si>
    <t>+1-202-429-0340</t>
  </si>
  <si>
    <t>WildAid</t>
  </si>
  <si>
    <t>https://wildaid.org/</t>
  </si>
  <si>
    <t>是（依托ADRA国际网络在多国开展项目/合作）</t>
  </si>
  <si>
    <t>ADRA Canada 是基督复临安息日会（Seventh-day Adventist Church）的官方人道机构之一，面向加拿大本土及海外脆弱群体提供紧急救援与长期发展支持。其工作涵盖：灾害与危机响应、粮食安全与生计恢复、水与卫生（WASH）与健康支持、社区韧性建设等；同时通过与教会、社区组织及国际伙伴合作，动员志愿者与资源，支持受影响家庭走出贫困并提升自我发展能力。</t>
  </si>
  <si>
    <t>加拿大 + 全球南方国家（项目覆盖多国）</t>
  </si>
  <si>
    <t>非政府组织/社会组织（宗教背景人道机构）(Non-Governmental / Civil Society Organization; Faith-inspired)</t>
  </si>
  <si>
    <t>食品安全与生计恢复 (Food Security &amp; Livelihoods)</t>
  </si>
  <si>
    <t>健康与WASH (Health &amp; WASH)</t>
  </si>
  <si>
    <t>info@adra.ca</t>
  </si>
  <si>
    <t>1-888-274-2372（亦见905-446-2372）</t>
  </si>
  <si>
    <t>ADRA International（ADRA全球网络）；Canada政府合作伙伴档案将其归类为National NGO（对外合作伙伴）</t>
  </si>
  <si>
    <t>以“Justice. Compassion. Love.”为价值口号；同时在加拿大开展社区项目（如食物安全、健康、移民/危机响应、生态倡议等），并通过“ADRA Ambassador”机制动员教会/学校志愿者参与社区传播与筹资支持。</t>
  </si>
  <si>
    <t>来源建议人工复核：ADRA Canada官网Contact/About/Our Work/International；Canada.ca对外合作伙伴档案；CanadaHelps/慈善注册信息库（可查注册编号）</t>
  </si>
  <si>
    <t>American Bar Association</t>
  </si>
  <si>
    <t>是（设有国际项目与海外合作网络）</t>
  </si>
  <si>
    <t>American Bar Association（ABA）是美国最大的律师行业组织之一，成立于1878年，总部位于芝加哥。ABA致力于提升法律职业标准、推动法治建设、开展法律教育认证、制定职业伦理规范，并通过政策倡导影响立法与司法改革。其国际法治项目（Rule of Law Initiative）在全球多国开展司法能力建设、反腐败、选举法治与人权项目。ABA既是行业协会，也是重要的公共政策倡导主体。</t>
  </si>
  <si>
    <t>美国及全球（法治项目覆盖多国）</t>
  </si>
  <si>
    <t>非政府组织 / 行业协会 (Non-Governmental / Professional Association)</t>
  </si>
  <si>
    <t>执行/倡导型机构 (Implementing &amp; Advocacy Organization)</t>
  </si>
  <si>
    <t>法律职业标准与司法改革 (Legal Standards &amp; Judicial Reform)</t>
  </si>
  <si>
    <t>mediarelations@americanbar.org</t>
  </si>
  <si>
    <t>+1-312-988-5000</t>
  </si>
  <si>
    <t>拥有“ABA Rule of Law Initiative (ROLI)”作为其国际项目平台；在美国法律教育认证体系中具有权威地位。</t>
  </si>
  <si>
    <t>正常运营（官网持续更新，近年持续发布政策声明与法治项目报告）</t>
  </si>
  <si>
    <t>总部与联系方式来源：ABA官网Contact页面；国际项目来源：ABA ROLI公开资料</t>
  </si>
  <si>
    <t>是（在亚洲与太平洋多国设有办公室）</t>
  </si>
  <si>
    <t>The Asia Foundation 是一家国际非营利组织，成立于1954年，长期在亚洲与太平洋地区开展治理、经济发展、性别平等、教育、法治与区域合作项目。其工作方式包括政策研究、项目实施、能力建设和与本地伙伴组织合作。基金会强调在地办公室运作模式，在多个亚洲国家设立常驻机构，支持公共部门改革、公民社会发展与包容性经济增长。</t>
  </si>
  <si>
    <t>亚洲与太平洋地区</t>
  </si>
  <si>
    <t>全球政策层面合作</t>
  </si>
  <si>
    <t>非政府组织 / 国际非营利组织 (International NGO)</t>
  </si>
  <si>
    <t>咨询/研究机构 (Research &amp; Policy Organization)</t>
  </si>
  <si>
    <t>经济发展与包容性增长 (Inclusive Economic Growth)</t>
  </si>
  <si>
    <t>采取“在地办公室+区域协调”机制，在20多个国家设有常驻办公室；长期与政府及多边机构合作。</t>
  </si>
  <si>
    <t>正常运营（官网2024-2025年持续发布项目与报告更新）</t>
  </si>
  <si>
    <t>Bill &amp; Melinda Gates Foundation</t>
  </si>
  <si>
    <t>比尔和梅琳达·盖茨基金会</t>
  </si>
  <si>
    <t>是（在华盛顿特区、伦敦、北京等地设有办公室/团队）</t>
  </si>
  <si>
    <t>比尔和梅琳达·盖茨基金会是全球规模最大的私人慈善基金会之一，成立于2000年，总部位于美国西雅图。基金会通过战略性拨款与伙伴合作，重点支持全球健康（疫苗与传染病防控、卫生体系建设）、全球发展（农业与粮食系统、金融包容、性别平等）以及美国教育与机会平等等议题。其工作方式以大额多年期资助、与政府及多边机构协作、支持科研创新与政策倡导为主，在全球多个国家设有办公室或常驻团队。</t>
  </si>
  <si>
    <t>全球（重点在撒哈拉以南非洲与南亚）</t>
  </si>
  <si>
    <t>美国国内项目</t>
  </si>
  <si>
    <t>基金会 (Private Foundation)</t>
  </si>
  <si>
    <t>战略倡导与政策合作 (Strategic Advocacy &amp; Policy Partnership)</t>
  </si>
  <si>
    <t>健康与公共卫生 (Global Health)</t>
  </si>
  <si>
    <t>社区发展与减贫 (Poverty Reduction &amp; Development)</t>
  </si>
  <si>
    <t>性别平等与包容 (Gender Equality &amp; Inclusion)</t>
  </si>
  <si>
    <t>media@gatesfoundation.org</t>
  </si>
  <si>
    <t>基金会采取“战略资助+政策影响”模式；在北京设有代表处（公开信息显示其在华有团队与合作项目）。</t>
  </si>
  <si>
    <t>在华开展业务：设有北京代表处/团队（公开资料可查）</t>
  </si>
  <si>
    <t>正常运营（官网持续更新2024-2025年度报告与项目公告）</t>
  </si>
  <si>
    <t>Business for Social Responsibility</t>
  </si>
  <si>
    <t>是（在纽约、伦敦、巴黎、哥本哈根、上海等地设有办公室）</t>
  </si>
  <si>
    <t>Business for Social Responsibility（BSR）是一家全球性非营利组织与企业可持续发展网络，成立于1992年，总部位于美国旧金山。BSR通过研究报告、战略咨询、跨行业协作平台和能力建设项目，帮助企业在气候变化、人权、供应链责任、可持续金融与数字责任等议题上制定与实施ESG战略。其成员主要为跨国企业，组织通过“会员制+项目合作”模式推动行业标准制定与多方利益相关方对话。</t>
  </si>
  <si>
    <t>全球（跨国企业网络）</t>
  </si>
  <si>
    <t>非政府组织 / 国际非营利机构 (International NGO)</t>
  </si>
  <si>
    <t>网络型机构 (Membership Network Organization)</t>
  </si>
  <si>
    <t>人权与供应链责任 (Human Rights &amp; Supply Chain)</t>
  </si>
  <si>
    <t>采取会员制模式，拥有数百家跨国企业成员；发布年度可持续发展趋势报告与行业指南。</t>
  </si>
  <si>
    <t>暂无在华注册代表处（公开资料显示其在上海设有办公室，但未见“注册代表处”表述）</t>
  </si>
  <si>
    <t>正常运营（官网2024-2025年持续发布研究报告与企业合作项目）</t>
  </si>
  <si>
    <t>未检索到其作为成员加入其他国际网络的公开信息</t>
  </si>
  <si>
    <t>未检索到其作为成员加入其他国际网络的公开信息</t>
    <phoneticPr fontId="1" type="noConversion"/>
  </si>
  <si>
    <t>不适用（政府机构）</t>
  </si>
  <si>
    <t>不适用（政府对外机构体系）</t>
  </si>
  <si>
    <t>Canadian International Development Agency（CIDA）成立于1968年，是加拿大联邦政府负责对外发展援助与国际合作事务的核心机构。其职责包括管理官方发展援助（ODA）、支持减贫、教育、卫生、粮食安全、性别平等及人道救援项目，并与多边组织及非政府组织开展合作。2013年，CIDA并入加拿大外交与国际贸易部（后更名为Global Affairs Canada），不再作为独立机构运营，其职能被整合进加拿大外交体系。</t>
  </si>
  <si>
    <t>全球（发展中国家为重点）</t>
  </si>
  <si>
    <t>政府资助与执行机构 (Government Funding &amp; Implementing Agency)</t>
  </si>
  <si>
    <t>多边合作协调机构 (Multilateral Coordination Body)</t>
  </si>
  <si>
    <t>性别平等与发展合作 (Gender &amp; Development Cooperation)</t>
  </si>
  <si>
    <t>历史政府机构；其发展援助职能现由 Global Affairs Canada 负责。</t>
  </si>
  <si>
    <t>已并入政府部门（2013年整合进Global Affairs Canada，不再独立运营）</t>
  </si>
  <si>
    <t>匹兹堡（Pittsburgh, Pennsylvania）</t>
  </si>
  <si>
    <t>是（设有多国校区与研究中心）</t>
  </si>
  <si>
    <t>Carnegie Mellon University（CMU）成立于1900年，是美国顶尖的私立研究型大学之一，长期在计算机科学、人工智能、工程、公共政策、商学院与艺术设计等领域具有全球领先地位。CMU以跨学科研究见长，在数字技术、机器人、数据科学、网络安全及公共政策创新方面形成显著优势。除主校区外，CMU在卡塔尔等地设有国际校区，并与全球高校及政府机构开展科研合作与人才培养项目。</t>
  </si>
  <si>
    <t>美国及全球科研合作网络</t>
  </si>
  <si>
    <t>教育与科研机构 (Education &amp; Research Institution)</t>
  </si>
  <si>
    <t>国际合作与人才培养机构 (International Academic Cooperation)</t>
  </si>
  <si>
    <t>数字与人工智能 (Digital &amp; AI Innovation)</t>
  </si>
  <si>
    <t>公共政策与治理 (Public Policy &amp; Governance)</t>
  </si>
  <si>
    <t>全球知名研究型大学，在人工智能与机器人领域具有世界领先声誉；卡塔尔设有分校（Education City）。</t>
  </si>
  <si>
    <t>正常运营（官网持续更新2024-2025学术与科研信息）</t>
  </si>
  <si>
    <t>环境保护基金会（美国环保协会）</t>
  </si>
  <si>
    <t>纽约（New York, New York）</t>
  </si>
  <si>
    <t>是（在美国及欧洲、中国等地设有办公室或团队）</t>
  </si>
  <si>
    <t>Environmental Defense Fund（EDF）成立于1967年，是一家以科学为基础、以市场机制和政策创新为工具的国际环保组织。其核心工作领域包括气候变化减缓与能源转型、空气污染与公共健康、海洋与渔业管理、农业可持续发展及生态保护。EDF强调以数据和科学研究为基础，推动政府、企业与社区采取可衡量的环境解决方案，并在政策倡导与企业合作方面具有较强影响力。</t>
  </si>
  <si>
    <t>全球（重点在美国、欧洲、中国等）</t>
  </si>
  <si>
    <t>非政府组织 / 社会组织 (International NGO)</t>
  </si>
  <si>
    <t>+1-800-684-3322</t>
  </si>
  <si>
    <t>以“科学+经济工具+政策倡导”模式著称；曾在中国设有办公室开展能源与气候合作项目。</t>
  </si>
  <si>
    <t>暂无在华注册代表处（公开资料显示其曾在北京设有项目办公室）</t>
  </si>
  <si>
    <t>正常运营（官网持续发布2024-2025年度气候与环境政策更新）</t>
  </si>
  <si>
    <t>家庭健康国际（现FHI 360）</t>
  </si>
  <si>
    <t>达勒姆（Durham, North Carolina）</t>
  </si>
  <si>
    <t>是（在60多个国家设有项目办公室）</t>
  </si>
  <si>
    <t>FHI 360（原名 Family Health International）是一家全球性非营利组织，成立于1971年，总部位于美国北卡罗来纳州达勒姆。该机构通过研究与项目实施相结合的方式，支持公共卫生、教育、营养、经济发展、青年发展及治理能力建设等领域。FHI 360长期参与全球艾滋病防治、妇幼健康、教育体系改革及社会创新项目，并与政府、多边机构及私营部门合作开展跨国项目。其运作模式强调循证研究、能力建设与本地伙伴协作。</t>
  </si>
  <si>
    <t>全球（重点在非洲、南亚、东南亚）</t>
  </si>
  <si>
    <t>咨询/研究机构 (Research &amp; Technical Assistance Organization)</t>
  </si>
  <si>
    <t>社区发展与经济机会 (Community Development &amp; Economic Opportunity)</t>
  </si>
  <si>
    <t>contact@fhi360.org</t>
  </si>
  <si>
    <t>在全球公共卫生领域具有较强技术能力，长期承担USAID等多边与双边发展项目。</t>
  </si>
  <si>
    <t>正常运营（官网2024-2025持续发布项目与技术报告）</t>
  </si>
  <si>
    <t>是（在多个国家设有区域办公室）</t>
  </si>
  <si>
    <t>全球（重点在全球南方与美国）</t>
  </si>
  <si>
    <t>法治与民主治理 (Democracy &amp; Governance)</t>
  </si>
  <si>
    <t>环境与气候变化 (Climate &amp; Sustainability)</t>
  </si>
  <si>
    <t>media@fordfoundation.org</t>
  </si>
  <si>
    <t>正常运营（官网持续更新2024-2025年度资助与战略报告）</t>
  </si>
  <si>
    <t>是（北京代表处，1988年设立）</t>
  </si>
  <si>
    <t>Ford Foundation 成立于1936年，是全球最具影响力的私人慈善基金会之一，总部位于纽约。基金会致力于减少不平等，推动社会正义与民主治理，通过战略性拨款支持公民社会组织、研究机构与倡导网络。其重点领域包括民主与公民参与、性别与种族平等、经济公平、气候与可持续发展等。福特基金会采用长期、多年度资助模式，强调结构性改革与制度变革，在全球设有多个区域办公室，并在中国长期开展资助与合作项目。</t>
  </si>
  <si>
    <t>战略性倡导支持机构 (Strategic Philanthropy &amp; Policy Support)</t>
  </si>
  <si>
    <t>1988年在北京设立代表处，是最早获准在华设立机构的国际基金会之一；长期支持中国学术研究与社会发展领域。</t>
  </si>
  <si>
    <t>在华分支机构：福特基金会北京代表处（1988年设立，系早期获批国际基金会办事机构之一）</t>
  </si>
  <si>
    <t>旧金山（San Francisco, California）</t>
  </si>
  <si>
    <t>是（北京代表处）</t>
  </si>
  <si>
    <t>是（在亚洲多国开展项目与合作）</t>
  </si>
  <si>
    <t>Give2Asia 成立于2001年，是一家总部位于美国旧金山的跨境慈善服务平台型机构，致力于促进全球捐赠与本地公益组织之间的合规连接。机构通过尽职调查（due diligence）、合规拨款管理、项目监测与财务托管等服务，帮助企业、基金会与个人在亚洲及其他地区开展公益投资。Give2Asia 采用“服务平台+项目管理”模式，既支持紧急人道响应，也推动教育、健康、环境与社区发展项目，强调跨境捐赠的合规与透明。</t>
  </si>
  <si>
    <t>亚洲及全球跨境公益合作网络</t>
  </si>
  <si>
    <t>平台型机构 (Philanthropic Intermediary Platform)</t>
  </si>
  <si>
    <t>资助管理与合规支持机构 (Grantmaking &amp; Compliance Management)</t>
  </si>
  <si>
    <t>健康与教育支持 (Health &amp; Education Support)</t>
  </si>
  <si>
    <t>以“跨境慈善中介”著称；官网公开北京代表处地址（北京市海淀区马甸东路17号金澳国际写字楼607室）。</t>
  </si>
  <si>
    <t>正常运营（官网2024-2025持续发布项目与合作信息）</t>
  </si>
  <si>
    <t>在华分支机构：Give2Asia北京代表处（官网公开地址信息）</t>
    <phoneticPr fontId="1" type="noConversion"/>
  </si>
  <si>
    <t>Greenpeace International</t>
  </si>
  <si>
    <t>是（绿色和平东亚办公室/北京）</t>
  </si>
  <si>
    <t>是（在全球55+国家设有办公室）</t>
  </si>
  <si>
    <t>Greenpeace 成立于1971年，是全球最具影响力的独立环保组织之一。机构通过公众动员、调查研究、直接行动与政策倡导，推动在气候变化、海洋保护、森林与生物多样性、反污染及可持续农业等领域的系统性变革。Greenpeace 强调独立性，不接受政府或企业资助，资金主要来自个人捐赠。其运作模式为全球协调+区域办公室体系，在多个国家设有独立法人实体或区域办公室。</t>
  </si>
  <si>
    <t>全球（重点在气候与生态脆弱区域）</t>
  </si>
  <si>
    <t>非政府组织 / 国际环保组织 (International Environmental NGO)</t>
  </si>
  <si>
    <t>网络型机构 (Global Network Organization)</t>
  </si>
  <si>
    <t>可持续农业与反污染 (Sustainable Agriculture &amp; Pollution Control)</t>
  </si>
  <si>
    <t>pressdesk.int@greenpeace.org</t>
  </si>
  <si>
    <t>+31-20-7182000</t>
  </si>
  <si>
    <t>强调资金独立性；在中国设有“绿色和平东亚办公室（北京）”，公开开展气候与海洋项目。</t>
  </si>
  <si>
    <t>在华分支机构：绿色和平东亚办公室（北京）</t>
  </si>
  <si>
    <t>正常运营（官网2024-2025持续发布全球与区域行动报告）</t>
  </si>
  <si>
    <t>Give2Asia</t>
    <phoneticPr fontId="1" type="noConversion"/>
  </si>
  <si>
    <t>赠与亚洲</t>
    <phoneticPr fontId="1" type="noConversion"/>
  </si>
  <si>
    <t>Instituto Brasileiro de Análises Sociais e Econômicas</t>
  </si>
  <si>
    <t>IBASE（Instituto Brasileiro de Análises Sociais e Econômicas）成立于1981年，是巴西具有重要影响力的公民社会研究与倡导机构。该机构致力于通过社会经济研究、公共政策分析和公民参与倡导，推动社会正义、民主治理与可持续发展。其重点工作领域包括预算透明与公共财政监督、社会不平等问题、城市权利、气候正义以及社区参与机制建设。IBASE强调“研究+倡导+社会动员”的结合，通过发布报告、政策对话和网络合作推动公共议题改革。</t>
  </si>
  <si>
    <t>巴西及拉丁美洲</t>
  </si>
  <si>
    <t>非政府组织 / 公民社会研究机构 (NGO / Civil Society Research Institute)</t>
  </si>
  <si>
    <t>社会公平与包容 (Social Equity &amp; Inclusion)</t>
  </si>
  <si>
    <t>环境与气候正义 (Climate &amp; Environmental Justice)</t>
  </si>
  <si>
    <t>ibase@ibase.br</t>
  </si>
  <si>
    <t>+55-21-2178-9400</t>
  </si>
  <si>
    <t>巴西历史较久的公民社会智库之一，强调预算透明与公民参与；常参与拉美区域政策网络。</t>
  </si>
  <si>
    <t>正常运营（官网2024-2025持续发布研究报告与公共倡议活动）</t>
  </si>
  <si>
    <t>独立部门组织（美国）</t>
  </si>
  <si>
    <t>Independent Sector 成立于1980年，是美国非营利与慈善领域的全国性会员组织，致力于连接非营利组织、基金会与企业公益部门，推动行业政策倡导、研究与能力建设。机构通过发布研究报告、组织政策对话、倡导税收与慈善法规改革，以及开展行业培训项目，支持美国公民社会生态系统的健康发展。其运作模式为会员制网络，强调公共政策影响与行业自律。</t>
  </si>
  <si>
    <t>非政府组织 / 行业协会 (Nonprofit / Sector Association)</t>
  </si>
  <si>
    <t>倡导与研究机构 (Advocacy &amp; Research Organization)</t>
  </si>
  <si>
    <t>全球伙伴关系与资源动员 (Philanthropy &amp; Partnerships)</t>
  </si>
  <si>
    <t>法治与公共政策 (Public Policy &amp; Governance)</t>
  </si>
  <si>
    <t>能力建设 (Capacity Building)</t>
  </si>
  <si>
    <t>美国非营利行业的重要平台组织，定期发布“Health of the U.S. Nonprofit Sector”相关研究。</t>
  </si>
  <si>
    <t>正常运营（官网2024-2025持续发布政策声明与行业研究）</t>
  </si>
  <si>
    <t>美国国际援助组织联盟</t>
  </si>
  <si>
    <t>InterAction 成立于1984年，是美国规模最大的国际发展与人道援助非政府组织联盟。该机构作为会员制网络平台，汇集了超过160家美国非营利组织，成员机构在全球多个国家开展减贫、人道救援、卫生、教育与民主治理项目。InterAction通过政策倡导、行业协调、能力建设与联合声明等方式，在美国国会及国际政策层面推动发展合作议程。其角色更多是协调与倡导平台，而非直接执行项目。</t>
  </si>
  <si>
    <t>全球（通过成员组织开展）</t>
  </si>
  <si>
    <t>非政府组织 / 联盟型机构 (NGO / Alliance Organization)</t>
  </si>
  <si>
    <t>倡导与协调机构 (Advocacy &amp; Coordination Platform)</t>
  </si>
  <si>
    <t>社区发展与减贫 (Development &amp; Poverty Reduction)</t>
  </si>
  <si>
    <t>全球政策倡导 (Global Policy Advocacy)</t>
  </si>
  <si>
    <t>forum@interaction.org</t>
  </si>
  <si>
    <t>+1-202-667-8227</t>
  </si>
  <si>
    <t>美国国际发展NGO的核心协调平台，定期发布政策简报与联合声明；成员组织覆盖全球。</t>
  </si>
  <si>
    <t>正常运营（官网2024-2025持续更新政策与成员活动信息）</t>
  </si>
  <si>
    <t>国际河流组织</t>
  </si>
  <si>
    <t>奥克兰（Oakland, California）</t>
  </si>
  <si>
    <t>International Rivers 成立于1985年，是一家专注于河流保护与社区权利的国际环保组织。机构通过研究报告、政策倡导、社区赋权和法律支持等方式，关注大型水坝建设对生态系统与当地社区的影响，推动可持续能源与水资源管理方案。其核心议题包括河流生态保护、气候与能源转型、社区参与和环境正义。International Rivers 强调与全球南方社区合作，支持受影响群体参与决策进程。</t>
  </si>
  <si>
    <t>全球（重点在亚洲、非洲、拉丁美洲）</t>
  </si>
  <si>
    <t>非政府组织 / 环境倡导机构 (International Environmental NGO)</t>
  </si>
  <si>
    <t>研究与社区支持机构 (Research &amp; Community Support Organization)</t>
  </si>
  <si>
    <t>社区权利与参与 (Community Rights &amp; Participation)</t>
  </si>
  <si>
    <t>能源与水资源治理 (Energy &amp; Water Governance)</t>
  </si>
  <si>
    <t>长期关注跨国水坝项目的环境与社会影响，发布水电项目评估报告，在全球河流保护领域具有专业影响力。</t>
  </si>
  <si>
    <t>正常运营（官网2024-2025持续发布项目报告与政策更新）</t>
  </si>
  <si>
    <t>Nasdaq Foundation</t>
  </si>
  <si>
    <t>纳斯达克基金会</t>
  </si>
  <si>
    <t>是（通过纳斯达克全球企业网络开展项目）</t>
  </si>
  <si>
    <t>Nasdaq Foundation 是纳斯达克公司旗下的企业慈善基金会，成立于2014年，致力于通过教育与资本市场相关项目推动经济机会与金融包容。基金会重点支持资本市场知识普及、金融科技创新、创业支持及女性与少数群体在金融领域的赋权。其运作模式以企业公益拨款与合作项目为主，支持非营利组织与教育机构开展能力建设与金融素养提升活动。</t>
  </si>
  <si>
    <t>美国及全球金融合作网络</t>
  </si>
  <si>
    <t>企业基金会 (Corporate Foundation)</t>
  </si>
  <si>
    <t>经济发展与金融包容 (Economic Opportunity &amp; Financial Inclusion)</t>
  </si>
  <si>
    <t>性别平等与多样性 (Gender Equality &amp; Inclusion)</t>
  </si>
  <si>
    <t>https://www.nasdaq.com/nasdaq-foundation</t>
  </si>
  <si>
    <t>+1-212-401-8700</t>
  </si>
  <si>
    <t>纳斯达克公司企业公益部门；与多家教育与创业支持机构合作开展资本市场教育项目。</t>
  </si>
  <si>
    <t>正常运营（官网2024-2025持续发布资助项目与年度公益信息）</t>
  </si>
  <si>
    <t>National Democratic Institute</t>
  </si>
  <si>
    <t>美国国家民主研究所</t>
  </si>
  <si>
    <t>是（在多个国家设有常驻项目办公室）</t>
  </si>
  <si>
    <t>National Democratic Institute（NDI）成立于1983年，是一家总部位于华盛顿的非营利、非党派国际组织，致力于支持民主制度建设与公民参与。NDI与各国政党、议会、选举机构、公民社会组织及青年和妇女团体合作，开展选举监督、议会能力建设、反腐败倡议、公民参与机制建设及数字民主工具开发等项目。其运作模式强调本地伙伴合作与制度能力提升，在全球多个国家设有项目办公室。</t>
  </si>
  <si>
    <t>全球（重点在发展中国家与转型国家）</t>
  </si>
  <si>
    <t>非政府组织 / 国际民主促进机构 (International NGO)</t>
  </si>
  <si>
    <t>咨询与能力建设机构 (Technical Assistance Organization)</t>
  </si>
  <si>
    <t>公民参与与选举制度 (Civic Participation &amp; Elections)</t>
  </si>
  <si>
    <t>性别与政治参与 (Gender &amp; Political Inclusion)</t>
  </si>
  <si>
    <t>ndi@ndi.org</t>
  </si>
  <si>
    <t>长期承担美国国际发展合作项目；与多国议会及选举机构合作；强调非党派性质。</t>
  </si>
  <si>
    <t>正常运营（官网2024-2025持续发布项目报告与全球动态）</t>
  </si>
  <si>
    <t>未检索到可确认成立时间</t>
  </si>
  <si>
    <t>Oak Foundation</t>
  </si>
  <si>
    <t>OAK</t>
  </si>
  <si>
    <t>是（在英国、美国、印度、丹麦、津巴布韦等设有办公室）</t>
  </si>
  <si>
    <t>Oak Foundation 成立于1983年，是一家总部位于瑞士日内瓦的国际私人慈善基金会。基金会通过长期战略性资助支持公民社会组织，重点领域包括气候变化与能源转型、儿童保护与防止虐待、性别平等与女性赋权、住房与无家可归问题以及国际人权。Oak 采用多年度核心资助（core support）模式，强调结构性改革与政策层面影响，在多个国家设有办事机构并开展本地化资助项目。</t>
  </si>
  <si>
    <t>全球（重点在欧洲、美国、南亚与非洲）</t>
  </si>
  <si>
    <t>战略性长期资助机构 (Strategic Long-term Philanthropy)</t>
  </si>
  <si>
    <t>儿童与青少年保护 (Child Protection)</t>
  </si>
  <si>
    <t>性别平等与人权 (Gender Equality &amp; Human Rights)</t>
  </si>
  <si>
    <t>info@oakfnd.org</t>
  </si>
  <si>
    <t>+41-22-819-4100</t>
  </si>
  <si>
    <t>以长期核心资助著称；创始人为英国企业家Alan Parker；在美国设有Oak Foundation (USA)实体。</t>
  </si>
  <si>
    <t>正常运营（官网2024-2025持续发布资助项目与年度报告）</t>
  </si>
  <si>
    <t>马里布（Malibu, California）</t>
  </si>
  <si>
    <t>是（设有国际校区与海外学习中心）</t>
  </si>
  <si>
    <t>Pepperdine University 成立于1937年，是一所位于美国加利福尼亚州马里布的私立研究型大学，隶属于基督教会传统。学校设有商学院、法学院、教育与心理学院、公共政策学院及文理学院等多个学院，提供本科及研究生教育。其在国际事务、商科管理与公共政策领域具有一定影响力，并设有多个海外学习中心（如伦敦、罗马、上海等城市的学习项目）。学校强调价值导向教育与全球视野培养。</t>
  </si>
  <si>
    <t>美国及全球学术合作网络</t>
  </si>
  <si>
    <t>高校 / 教育机构 (Private University)</t>
  </si>
  <si>
    <t>国际交流与人才培养机构 (International Academic Cooperation)</t>
  </si>
  <si>
    <t>教育与科研 (Higher Education &amp; Research)</t>
  </si>
  <si>
    <t>商业与管理教育 (Business &amp; Management Education)</t>
  </si>
  <si>
    <t>admission@pepperdine.edu</t>
  </si>
  <si>
    <t>+1-310-506-4000</t>
  </si>
  <si>
    <t>私立基督教背景大学；设有多个海外学习中心项目（包括上海学习项目）。</t>
  </si>
  <si>
    <t>正常运营（官网2024-2025持续发布招生与学术信息）</t>
  </si>
  <si>
    <t>国际计划</t>
  </si>
  <si>
    <t>是（北京代表处，2017年在华登记）</t>
  </si>
  <si>
    <t>是（在80多个国家设有国家办公室）</t>
  </si>
  <si>
    <t>Plan International 成立于1937年，是一家以儿童权利与性别平等为核心使命的国际发展与人道组织。机构通过长期社区发展项目与紧急人道响应，支持儿童保护、基础教育、青少年赋权、性别平等与女童权利倡导。Plan 强调“儿童权利本位”与“社区参与”模式，在多个国家设有本地办公室并与政府、学校及社区组织合作开展项目。其资金主要来自公众捐赠、政府合作项目与多边资助。</t>
  </si>
  <si>
    <t>全球（重点在非洲、亚洲与拉丁美洲）</t>
  </si>
  <si>
    <t>非政府组织 / 国际发展组织 (International NGO)</t>
  </si>
  <si>
    <t>网络型机构 (Global Federation Structure)</t>
  </si>
  <si>
    <t>性别平等与女童赋权 (Gender Equality &amp; Girls’ Empowerment)</t>
  </si>
  <si>
    <t>灾害风险与人道援助 (Humanitarian Response)</t>
  </si>
  <si>
    <t>media@plan-international.org</t>
  </si>
  <si>
    <t>+44-1483-755155</t>
  </si>
  <si>
    <t>采取“国家办公室+全球秘书处”结构；在中国开展社区发展与儿童保护项目。</t>
  </si>
  <si>
    <t>在华分支机构：Plan International 英国北京代表处（2017年依法登记）</t>
  </si>
  <si>
    <t>正常运营（官网2024-2025持续发布全球项目与年度报告）</t>
  </si>
  <si>
    <t>会议委员会</t>
  </si>
  <si>
    <t>是（在欧洲、亚洲等地设有办公室）</t>
  </si>
  <si>
    <t>The Conference Board 成立于1916年，是一家全球性的非营利商业研究与会员组织，总部位于纽约。机构通过经济研究、数据分析、高管圆桌会议和政策报告，为企业领导层提供战略决策支持。其研究领域包括全球经济趋势、劳动力市场、企业治理、ESG与可持续发展等。The Conference Board 采取会员制模式，服务对象主要为跨国企业与大型机构，并在多个国家设有区域办公室与研究中心。</t>
  </si>
  <si>
    <t>全球（服务跨国企业网络）</t>
  </si>
  <si>
    <t>非营利机构 / 商业研究组织 (Nonprofit Business Research Organization)</t>
  </si>
  <si>
    <t>咨询/研究机构 (Research Organization)</t>
  </si>
  <si>
    <t>会员制网络平台 (Membership Organization)</t>
  </si>
  <si>
    <t>经济发展与企业治理 (Economic &amp; Corporate Governance)</t>
  </si>
  <si>
    <t>劳动力与组织发展 (Workforce &amp; Organizational Development)</t>
  </si>
  <si>
    <t>customer.service@conference-board.org</t>
  </si>
  <si>
    <t>全球历史悠久的商业研究机构之一；发布全球经济指标与高管调查报告。</t>
  </si>
  <si>
    <t>暂无在华注册代表处（其在北京设有办公室/代表性机构，但未以“注册代表处”公开标注）</t>
  </si>
  <si>
    <t>正常运营（官网2024-2025持续发布全球经济与企业研究报告）</t>
  </si>
  <si>
    <t>是（在美国及欧洲设有办公室）</t>
  </si>
  <si>
    <t>环境与气候变化 (Climate &amp; Environment)</t>
  </si>
  <si>
    <t>能源基金会（美国）</t>
  </si>
  <si>
    <t>否（美国总部未在华注册代表处）</t>
  </si>
  <si>
    <t>The Energy Foundation 是一家成立于1991年的美国私人慈善基金会，专注于推动能源政策改革与气候变化减缓。基金会通过资助研究机构、智库与倡导组织，支持清洁能源立法、能源效率提升、电力市场改革及低碳转型路径设计。其运作方式以战略性政策资助为核心，强调通过制度与市场机制推动系统性能源转型。该基金会曾长期支持中国能源与气候政策研究，并在中国设有办公室，后相关中国业务于2019年前后独立为 Energy Foundation China。</t>
  </si>
  <si>
    <t>美国及全球能源政策网络</t>
  </si>
  <si>
    <t>政策型战略资助机构 (Strategic Policy Philanthropy)</t>
  </si>
  <si>
    <t>可持续发展政策 (Sustainable Policy Reform)</t>
  </si>
  <si>
    <t>info@ef.org</t>
  </si>
  <si>
    <t>2019年前后中国办公室独立为 Energy Foundation China（中国注册法人机构）。</t>
  </si>
  <si>
    <t>美国总部暂无在华注册代表处（Energy Foundation China 为独立机构）</t>
  </si>
  <si>
    <t>正常运营（官网2024-2025持续更新能源与气候政策资助信息）</t>
  </si>
  <si>
    <t>是（在美国设总部，在部分国家开展资助项目）</t>
  </si>
  <si>
    <t>The Rockefeller Brothers Fund（RBF）成立于1940年，是一家总部位于纽约的家族慈善基金会，源于洛克菲勒家族第二代成员设立的慈善机构。基金会通过战略性资助推动社会转型，重点领域包括气候与能源转型、民主治理与公民社会、和平建设与国际合作等。RBF强调“系统性变革”与“长期结构性影响”，采取多年度核心资助模式支持公民社会组织、智库与倡导网络。近年来在气候金融与公正转型（Just Transition）议题上具有较强国际影响力。</t>
  </si>
  <si>
    <t>全球（重点在美国、欧洲及全球气候议题网络）</t>
  </si>
  <si>
    <t>基金会 (Private Family Foundation)</t>
  </si>
  <si>
    <t>战略倡导支持型机构 (Strategic Philanthropy)</t>
  </si>
  <si>
    <t>环境与气候变化 (Climate &amp; Energy Transition)</t>
  </si>
  <si>
    <t>法治与民主治理 (Democracy &amp; Civil Society)</t>
  </si>
  <si>
    <t>和平与国际合作 (Peace &amp; International Cooperation)</t>
  </si>
  <si>
    <t>洛克菲勒家族慈善体系核心机构之一；以长期核心资助和政策型支持著称。</t>
  </si>
  <si>
    <t>正常运营（官网2024-2025持续发布资助公告与年度报告）</t>
  </si>
  <si>
    <t>亚特兰大（Atlanta, Georgia）</t>
  </si>
  <si>
    <t>是（依托UPS全球企业网络开展项目）</t>
  </si>
  <si>
    <t>The UPS Foundation 成立于1951年，是联合包裹服务公司（UPS）旗下的企业慈善基金会，总部位于美国亚特兰大。基金会通过企业公益拨款与员工志愿者项目，支持社区韧性建设、灾害响应、经济机会创造与环境可持续发展。其重点领域包括人道救援与灾害物流支持、青年与就业能力建设、社区发展及碳减排倡议。UPS Foundation依托UPS全球物流网络，在重大灾害期间提供物流与供应链支持，并与多家国际组织开展合作。</t>
  </si>
  <si>
    <t>全球（依托UPS全球运营网络）</t>
  </si>
  <si>
    <t>灾害风险与人道援助 (Humanitarian Aid &amp; Disaster Response)</t>
  </si>
  <si>
    <t>经济机会与就业 (Economic Opportunity &amp; Workforce Development)</t>
  </si>
  <si>
    <t>环境与气候变化 (Environmental Sustainability)</t>
  </si>
  <si>
    <t>https://about.ups.com/us/en/impact/community/ups-foundation.html</t>
  </si>
  <si>
    <t>依托UPS全球物流体系，在灾害物流与应急供应链支持方面具有独特优势。</t>
  </si>
  <si>
    <t>正常运营（官网2024-2025持续更新企业社会责任与公益项目）</t>
  </si>
  <si>
    <t>是（北京与上海办公室）</t>
  </si>
  <si>
    <t>否（以美国总部为核心）</t>
  </si>
  <si>
    <t>The US-China Business Council（USCBC）成立于1973年，是一家由美国企业组成的非营利会员组织，致力于促进美中经贸关系与商业环境改善。USCBC为成员企业提供政策研究、市场分析、政府沟通与倡导支持，并在美国政府层面就贸易、投资与监管议题开展政策倡导。机构在北京与上海设有办公室，直接服务在华运营的美国企业，定期发布《中国商业环境调查报告》等研究成果。</t>
  </si>
  <si>
    <t>美国与中国</t>
  </si>
  <si>
    <t>非营利组织 / 商业协会 (Nonprofit Business Association)</t>
  </si>
  <si>
    <t>会员制网络机构 (Membership Organization)</t>
  </si>
  <si>
    <t>政策倡导与研究机构 (Policy &amp; Research Organization)</t>
  </si>
  <si>
    <t>经济与贸易合作 (Trade &amp; Economic Cooperation)</t>
  </si>
  <si>
    <t>企业政策倡导 (Corporate Policy Advocacy)</t>
  </si>
  <si>
    <t>国际商业环境研究 (Business Environment Research)</t>
  </si>
  <si>
    <t>info@uschina.org</t>
  </si>
  <si>
    <t>代表众多美国跨国企业；定期发布《中国商业环境调查》报告。</t>
  </si>
  <si>
    <t>在华办公室：北京与上海（官网公开地址）</t>
  </si>
  <si>
    <t>正常运营（官网2024-2025持续发布政策分析与企业调查报告）</t>
  </si>
  <si>
    <t>United Way Worldwide</t>
  </si>
  <si>
    <t>United Way / UWI</t>
  </si>
  <si>
    <t>联合劝募（全球体系）</t>
  </si>
  <si>
    <t>亚历山大（Alexandria, Virginia）</t>
  </si>
  <si>
    <t>是（在全球40多个国家和地区有联合劝募网络）</t>
  </si>
  <si>
    <t>United Way Worldwide 是全球联合劝募体系的协调机构，起源于1887年的美国社区慈善联合募捐运动。其运作模式为“地方联合劝募 + 全球协调网络”，通过企业配捐、社区募款与志愿服务，支持教育、健康与经济机会相关项目。United Way 强调社区基础模式（community-based model），通过地方分支筹资并资助本地社会组织，同时在全球层面推动企业社会责任与跨国公益合作。该组织通常被称为 United Way Worldwide，而“United Way International”多为历史或非正式表述。</t>
  </si>
  <si>
    <t>全球（40+国家和地区）</t>
  </si>
  <si>
    <t>美国本土网络</t>
  </si>
  <si>
    <t>非营利组织 / 全球公益网络 (Nonprofit Global Network)</t>
  </si>
  <si>
    <t>网络型机构 (Federated Network Organization)</t>
  </si>
  <si>
    <t>筹资与社区支持平台 (Community Fundraising &amp; Support Platform)</t>
  </si>
  <si>
    <t>社区发展与减贫 (Community Development)</t>
  </si>
  <si>
    <t>教育与青少年发展 (Education &amp; Youth Development)</t>
  </si>
  <si>
    <t>经济机会与家庭稳定 (Economic Opportunity)</t>
  </si>
  <si>
    <t>contact@unitedway.org</t>
  </si>
  <si>
    <t>https://www.unitedway.org/</t>
  </si>
  <si>
    <t>+1-703-836-7100</t>
  </si>
  <si>
    <t>采用“联合劝募”模式；以地方自治分支为核心；强调企业配捐与志愿服务动员。</t>
  </si>
  <si>
    <t>正常运营（官网2024-2025持续更新全球网络活动与年度报告）</t>
  </si>
  <si>
    <t>野生救援</t>
  </si>
  <si>
    <t>是（在亚洲、非洲等地设有项目办公室）</t>
  </si>
  <si>
    <t>海洋与物种保护 (Marine &amp; Species Protection)</t>
  </si>
  <si>
    <t>环境与可持续发展 (Environmental Sustainability)</t>
  </si>
  <si>
    <t>info@wildaid.org</t>
  </si>
  <si>
    <t>+1-415-834-3174</t>
  </si>
  <si>
    <t>全球（重点在中国、东南亚与非洲）</t>
  </si>
  <si>
    <t>以“减少需求”传播模式著称；在中国长期开展象牙、鲨鱼翅与野生动物保护宣传项目。</t>
  </si>
  <si>
    <t>正常运营（官网2024-2025持续发布全球与中国项目更新）</t>
  </si>
  <si>
    <t>是（北京代表处自2017年正式运营）</t>
  </si>
  <si>
    <t>WildAid 成立于1999年，是一家总部位于美国旧金山的国际野生动物保护组织。机构通过公众传播、行为改变倡导和与政府执法机构合作，减少对非法野生动植物制品的市场需求。其核心策略是“需求侧减少”（demand reduction），通过媒体宣传、公众人物倡议与社会营销活动改变消费行为，同时支持海洋保护、鲨鱼保护、象牙禁贸等议题。中国是其全球重点工作国家之一，长期开展公众倡导与政策合作项目。</t>
  </si>
  <si>
    <t>在华运营机构：WildAid Beijing Representative Office（2017年正式运营）；Biyuan Consulting Co. Ltd.（2013年成立，全资子公司，用于项目执行）</t>
  </si>
  <si>
    <t>Feminist League</t>
  </si>
  <si>
    <t>Feminist League of Kazakhstan</t>
  </si>
  <si>
    <t>哈萨克斯坦女性联盟</t>
  </si>
  <si>
    <t>中亚 (Central Asia)</t>
  </si>
  <si>
    <t>哈萨克斯坦</t>
  </si>
  <si>
    <t>阿拉木图（Almaty）</t>
  </si>
  <si>
    <t>Feminist League of Kazakhstan 成立于1993年，是哈萨克斯坦较早成立的女性权益倡导组织之一。机构致力于推动性别平等、家庭暴力防治、妇女参与政治与经济生活等议题，通过法律倡导、公众宣传与政策对话促进女性权利保护。其工作主要集中在哈萨克斯坦国内，并参与中亚区域性性别平等合作网络。</t>
  </si>
  <si>
    <t>中亚地区</t>
  </si>
  <si>
    <t>非政府组织 (NGO)</t>
  </si>
  <si>
    <t>性别平等 (Gender Equality)</t>
  </si>
  <si>
    <t>妇女权利 (Women’s Rights)</t>
  </si>
  <si>
    <t>社会政策倡导 (Social Policy Advocacy)</t>
  </si>
  <si>
    <t>未检索到公开邮箱</t>
  </si>
  <si>
    <t>未检索到可确认官网</t>
  </si>
  <si>
    <t>未检索到公开电话</t>
  </si>
  <si>
    <t>中亚地区较早成立的女性权利组织之一</t>
  </si>
  <si>
    <t>暂无在华注册代表处；未检索到在华开展业务信息</t>
  </si>
  <si>
    <t>正常运营（区域公开资料显示持续开展妇女权利项目）</t>
  </si>
  <si>
    <t>Civic Initiatives Support Center</t>
  </si>
  <si>
    <t>CISC</t>
  </si>
  <si>
    <t>乌兹别克公民意愿支持中心</t>
  </si>
  <si>
    <t>乌兹别克斯坦</t>
  </si>
  <si>
    <t>塔什干（Tashkent）</t>
  </si>
  <si>
    <t>Civic Initiatives Support Center 是一家总部位于乌兹别克斯坦塔什干的民间组织支持机构，致力于加强本国公民社会能力建设。其工作包括为本地非政府组织提供法律咨询、项目管理培训、社区发展支持与政策倡导能力建设。机构主要服务于乌兹别克斯坦境内的社会组织与社区团体，推动参与式治理与社会服务创新。</t>
  </si>
  <si>
    <t>能力建设型机构 (Capacity Building Organization)</t>
  </si>
  <si>
    <t>支持型机构 (Support Organization)</t>
  </si>
  <si>
    <t>公民社会发展 (Civil Society Development)</t>
  </si>
  <si>
    <t>社区治理 (Community Governance)</t>
  </si>
  <si>
    <t>区域性NGO支持平台机构</t>
  </si>
  <si>
    <t>正常运营（区域公开资料显示仍在本国开展项目）</t>
  </si>
  <si>
    <t>正常运营：官方网站adra.ca活跃，2023-2026战略计划发布，持续开展人道主义援助、社区发展和紧急响应项目（如菲律宾台风响应）。</t>
  </si>
  <si>
    <t>正常运营：官方网站americanbar.org活跃，2026年年度会议注册开放、政策声明和蓝图发布（如对最高法院的声明和2026增长蓝图）。</t>
  </si>
  <si>
    <t>正常运营：官方网站asiafoundation.org活跃，2026年活动包括Margaret F. Williams Memorial Fellowship申请、柬埔寨政策论坛和70周年影响庆祝。</t>
  </si>
  <si>
    <t>正常运营：官方网站gatesfoundation.org活跃，2026年度信件发布、9亿美元年度预算批准、加速2045关闭计划并持续全球健康与贫困项目。</t>
  </si>
  <si>
    <t>正常运营：官方网站bsr.org活跃，2026年发布季度会员洞见、美国政策影响事件和可持续商业网络支持近300家成员公司。</t>
  </si>
  <si>
    <t>已并入Global Affairs Canada（不再独立存在）：CIDA于2013年并入外交部，现为Global Affairs Canada的一部分，国际发展资金通过该部门持续运营。</t>
  </si>
  <si>
    <t>正常运营：官方网站cmu.edu活跃，2026年本科招生申请开放、截止日期公布和入学计划持续进行。</t>
  </si>
  <si>
    <t>正常运营：官方网站edf.org活跃，近60年历史、2026年气候风险项目指导、Schneider Fellows夏季项目和环境解决方案持续推进。</t>
  </si>
  <si>
    <t>正常运营：官方网站fhi360.org活跃，持续健康、教育和人道主义项目。</t>
  </si>
  <si>
    <t>正常运营：主要基金会，持续开展社会正义、艺术和全球发展资助项目。</t>
  </si>
  <si>
    <t>正常运营：亚洲慈善平台，持续运营捐赠和项目支持。</t>
  </si>
  <si>
    <t>正常运营：全球环保组织，网站活跃，持续气候和环境行动。</t>
  </si>
  <si>
    <t>正常运营：巴西社会经济分析机构，持续研究和出版活动。</t>
  </si>
  <si>
    <t>正常运营：美国非营利伞状组织，持续倡导和支持非营利部门。</t>
  </si>
  <si>
    <t>正常运营：美国国际发展NGO联盟，持续协调和政策工作。</t>
  </si>
  <si>
    <t>正常运营：河流保护组织，持续全球河流权益倡导。</t>
  </si>
  <si>
    <t>正常运营：纳斯达克基金会，持续社区和金融包容项目。</t>
  </si>
  <si>
    <t>正常运营：民主促进机构，持续全球选举和治理支持。</t>
  </si>
  <si>
    <t>正常运营：基金会持续环境、人权和儿童保护资助。</t>
  </si>
  <si>
    <t>正常运营：大学网站活跃，招生和学术项目持续。</t>
  </si>
  <si>
    <t>正常运营：儿童权利组织，持续全球女孩权益和人道主义工作。</t>
  </si>
  <si>
    <t>正常运营：商业研究组织，持续经济和政策报告发布。</t>
  </si>
  <si>
    <t>正常运营：能源转型基金会，持续清洁能源倡导。</t>
  </si>
  <si>
    <t>正常运营：基金会持续可持续发展和和平项目。</t>
  </si>
  <si>
    <t>正常运营：UPS基金会持续社区和灾害响应资助。</t>
  </si>
  <si>
    <t>正常运营：美中商业理事会，持续双边贸易和政策对话。</t>
  </si>
  <si>
    <t>正常运营：全球社区支持网络，持续捐赠和地方项目。</t>
  </si>
  <si>
    <t>正常运营：野生动物保护组织，持续反盗猎和公众宣传活动。</t>
  </si>
  <si>
    <t>正常运营：区域女性权益组织，持续开展性别平等倡导（需进一步核实具体法人主体）。</t>
  </si>
  <si>
    <t>正常运营：区域公民社会支持机构，持续开展公民社会能力建设与民主项目。</t>
  </si>
  <si>
    <t>1887（起源于美国科罗拉多州丹佛的慈善联合会运动）</t>
  </si>
  <si>
    <t>CANGO海外资源库</t>
    <phoneticPr fontId="1" type="noConversion"/>
  </si>
  <si>
    <t>TT Foundation Advisors</t>
  </si>
  <si>
    <t>TTFA</t>
  </si>
  <si>
    <t>TT基金会咨询</t>
  </si>
  <si>
    <t>新加坡</t>
  </si>
  <si>
    <t>TT Foundation Advisors 为Temasek Trust 旗下公益咨询支持单位，为基金会与公益机构提供战略规划、组织发展与影响力评估服务。其业务围绕公益治理优化与资助策略设计。</t>
  </si>
  <si>
    <t>基金会附属咨询单位</t>
  </si>
  <si>
    <t>咨询机构 (Advisory Unit)</t>
  </si>
  <si>
    <t>公益战略咨询</t>
  </si>
  <si>
    <t>公益战略与治理 (Philanthropy Strategy)</t>
  </si>
  <si>
    <t>影响力评估 (Impact Measurement)</t>
  </si>
  <si>
    <t>Joyce Teo</t>
  </si>
  <si>
    <t>Senior Philanthropy Advisor</t>
  </si>
  <si>
    <t>joyceteo@temasektrust.org.sg</t>
  </si>
  <si>
    <t>https://www.temasektrust.org.sg</t>
  </si>
  <si>
    <t>找不到公开电话</t>
  </si>
  <si>
    <t>Temasek Trust 体系内机构</t>
  </si>
  <si>
    <t>2024年</t>
    <phoneticPr fontId="1" type="noConversion"/>
  </si>
  <si>
    <t>Tianjin Juilliard School</t>
  </si>
  <si>
    <t>TJS</t>
  </si>
  <si>
    <t>天津茱莉亚学院</t>
  </si>
  <si>
    <t>中国</t>
  </si>
  <si>
    <t>天津滨海新区（Binhai New Area, Tianjin）</t>
  </si>
  <si>
    <t>Tianjin Juilliard School 成立于2019年，是美国茱莉亚学院在海外设立的首个分院，也是中国首个专注于研究生层次音乐教育的中外合作办学机构。学院由美国茱莉亚学院与天津音乐学院合作建立，提供音乐表演与艺术管理方向的硕士课程，并开展公共教育及艺术交流活动。机构定位为国际艺术教育与跨文化交流平台。</t>
  </si>
  <si>
    <t>国际艺术教育合作网络</t>
  </si>
  <si>
    <t>中外合作高等教育机构 (Sino-foreign Joint Higher Education Institution)</t>
  </si>
  <si>
    <t>教育机构 (Academic Institution)</t>
  </si>
  <si>
    <t>国际艺术教育平台</t>
  </si>
  <si>
    <t>艺术教育 (Music &amp; Performing Arts Education)</t>
  </si>
  <si>
    <t>国际交流 (International Exchange)</t>
  </si>
  <si>
    <t>文化合作 (Cultural Cooperation)</t>
  </si>
  <si>
    <t>马文杰</t>
  </si>
  <si>
    <t>发展事务高级总监</t>
  </si>
  <si>
    <t>wenjie.ma@tianjinjuilliard.edu.cn</t>
  </si>
  <si>
    <t>https://www.tianjinjuilliard.edu.cn</t>
  </si>
  <si>
    <t>美国茱莉亚学院海外首个分院</t>
  </si>
  <si>
    <t>中国境内法人机构</t>
  </si>
  <si>
    <t>正常运营（官网2024-2026持续发布招生与演出信息）</t>
  </si>
  <si>
    <t>HSBC Global Private Banking</t>
  </si>
  <si>
    <t>HSBC</t>
  </si>
  <si>
    <t>滙豐環球私人銀行有限公司</t>
  </si>
  <si>
    <t>1865（集团成立年份）</t>
  </si>
  <si>
    <t>伦敦（London, United Kingdom）</t>
  </si>
  <si>
    <t>是（通过汇丰中国实体在华运营）</t>
  </si>
  <si>
    <t>是（全球分支网络）</t>
  </si>
  <si>
    <t>HSBC Global Private Banking 是汇丰集团旗下的高端财富管理业务板块，专注为高净值客户提供资产配置、财富管理、跨境投资与慈善规划等服务。作为全球性金融机构业务单元，其运营覆盖欧洲、亚洲、美洲及中东市场。在中国，相关业务通过汇丰银行（中国）有限公司体系开展。</t>
  </si>
  <si>
    <t>全球</t>
  </si>
  <si>
    <t>金融机构 (Financial Institution)</t>
  </si>
  <si>
    <t>私人银行业务板块 (Private Banking Division)</t>
  </si>
  <si>
    <t>财富管理机构 (Wealth Management Institution)</t>
  </si>
  <si>
    <t>财富管理 (Wealth Management)</t>
  </si>
  <si>
    <t>慈善规划 (Philanthropy Advisory)</t>
  </si>
  <si>
    <t>跨境金融服务 (Cross-border Financial Services)</t>
  </si>
  <si>
    <t>Edward T. Ma</t>
  </si>
  <si>
    <t>董事</t>
  </si>
  <si>
    <t>edward.t.ma@hsbc.com</t>
  </si>
  <si>
    <t>https://www.hsbcprivatebank.com</t>
  </si>
  <si>
    <t>+44-20-7991-8888</t>
  </si>
  <si>
    <t>汇丰集团核心高端金融业务板块</t>
  </si>
  <si>
    <t>在华通过汇丰银行（中国）有限公司运营</t>
  </si>
  <si>
    <t>正常运营（集团2024-2026持续发布年度报告与市场更新）</t>
  </si>
  <si>
    <t>Accountability Counsel</t>
  </si>
  <si>
    <t>是（在亚洲、非洲、拉美等地支持社区案件）</t>
  </si>
  <si>
    <t>Accountability Counsel 成立于2009年，是一家总部位于美国旧金山的国际非营利组织，致力于推动大型基础设施与发展融资项目的环境与社会问责机制。机构为受多边开发银行、出口信贷机构和跨国投资项目影响的社区提供法律支持、投诉机制辅导与政策倡导服务。其核心工作包括申诉机制改革、发展金融问责、社区权利保护及金融机构责任提升。通过法律援助与国际倡导，推动全球发展融资体系更加透明、公正与负责。</t>
  </si>
  <si>
    <t>非政府组织 (International NGO)</t>
  </si>
  <si>
    <t>法律支持机构 (Legal Support Organization)</t>
  </si>
  <si>
    <t>环境与社会问责 (Environmental &amp; Social Accountability)</t>
  </si>
  <si>
    <t>社区权利保护 (Community Rights Protection)</t>
  </si>
  <si>
    <t>发展金融监督 (Development Finance Oversight)</t>
  </si>
  <si>
    <t>LEO LOU</t>
  </si>
  <si>
    <t>Policy Associate</t>
  </si>
  <si>
    <t>leo@accountabilitycounsel.org</t>
  </si>
  <si>
    <t>https://www.accountabilitycounsel.org</t>
  </si>
  <si>
    <t>+1-415-296-6761</t>
  </si>
  <si>
    <t>专注多边开发银行问责机制改革与社区法律支持</t>
  </si>
  <si>
    <t>暂无在华注册代表处；未检索到在华持续运营机构</t>
  </si>
  <si>
    <t>正常运营（官网2024-2025持续发布案例与政策更新）</t>
  </si>
  <si>
    <t>myriad Australia Ltd</t>
  </si>
  <si>
    <t>澳大利亚</t>
  </si>
  <si>
    <t>墨尔本（Melbourne, Victoria）</t>
  </si>
  <si>
    <t>是（通过跨境捐赠平台覆盖多国项目）</t>
  </si>
  <si>
    <t>myriad Australia 成立于2019年，是一家澳大利亚注册慈善机构，专注于跨境公益捐赠与“borderless giving”模式。机构为企业与个人提供合规的国际捐赠管理服务，包括尽职调查、资金合规管理、项目对接与影响力追踪。其业务覆盖教育、公共卫生、社区发展、气候行动等议题领域，致力于促进全球慈善资源流动与跨境公益合作。</t>
  </si>
  <si>
    <t>全球（通过平台对接多国项目）</t>
  </si>
  <si>
    <t>注册慈善机构 (Registered Charity)</t>
  </si>
  <si>
    <t>跨境捐赠平台 (Philanthropic Intermediary)</t>
  </si>
  <si>
    <t>捐赠管理机构 (Grant Management Organization)</t>
  </si>
  <si>
    <t>公益捐赠管理 (Philanthropy Management)</t>
  </si>
  <si>
    <t>社区发展 (Community Development)</t>
  </si>
  <si>
    <t>跨境公益合作 (Cross-border Philanthropy)</t>
  </si>
  <si>
    <t>Anita Toy</t>
  </si>
  <si>
    <t>Executive Director</t>
  </si>
  <si>
    <t>anita@myriadaustralia.org</t>
  </si>
  <si>
    <t>https://www.myriadaustralia.org</t>
  </si>
  <si>
    <t>采用“borderless giving”模式的跨境慈善平台</t>
  </si>
  <si>
    <t>正常运营（官网2024-2025持续发布项目与年度信息）</t>
  </si>
  <si>
    <t>Myriad Australia</t>
    <phoneticPr fontId="1" type="noConversion"/>
  </si>
  <si>
    <t>Re-Course</t>
  </si>
  <si>
    <t>Re-Course 成立于2018年，是一家总部位于英国伦敦的非营利机构，致力于推动慈善与社会投资领域的财务透明与问责机制建设。机构通过研究报告、政策倡导与市场监督，关注社会投资基金、公益金融工具及慈善资本运作的透明度问题。其工作重点包括公益金融结构改革、投资问责以及社会影响资本市场规范。</t>
  </si>
  <si>
    <t>欧洲</t>
  </si>
  <si>
    <t>非营利组织 (Nonprofit Organization)</t>
  </si>
  <si>
    <t>公益金融研究机构 (Philanthropic Finance Research)</t>
  </si>
  <si>
    <t>公益金融问责 (Philanthropic Finance Accountability)</t>
  </si>
  <si>
    <t>社会投资 (Social Investment)</t>
  </si>
  <si>
    <t>政策倡导 (Policy Advocacy)</t>
  </si>
  <si>
    <t>Marjorie Pamintuan</t>
  </si>
  <si>
    <t>Finance Campaigner</t>
  </si>
  <si>
    <t>marjorie@re-course.org</t>
  </si>
  <si>
    <t>https://www.re-course.org</t>
  </si>
  <si>
    <t>专注慈善与社会投资金融透明度议题</t>
  </si>
  <si>
    <t>暂无在华注册代表处；未检索到在华持续项目</t>
  </si>
  <si>
    <t>正常运营（官网2024-2025持续发布政策评论）</t>
  </si>
  <si>
    <t>Groupe CIDE</t>
  </si>
  <si>
    <t>刚果民主共和国</t>
  </si>
  <si>
    <t>金沙萨（Kinshasa）</t>
  </si>
  <si>
    <t>Groupe CIDE 是一家总部位于刚果民主共和国金沙萨的综合型机构，业务涉及咨询服务、法律事务支持及项目管理等领域。公开信息显示其在本地开展管理咨询与公共事务相关工作，但机构规模与业务范围公开资料较为有限。</t>
  </si>
  <si>
    <t>中非地区</t>
  </si>
  <si>
    <t>本地机构 (Local Organization)</t>
  </si>
  <si>
    <t>咨询机构 (Consulting Organization)</t>
  </si>
  <si>
    <t>综合管理服务机构</t>
  </si>
  <si>
    <t>管理咨询 (Management Consulting)</t>
  </si>
  <si>
    <t>法律事务支持 (Legal Support)</t>
  </si>
  <si>
    <t>项目管理 (Project Management)</t>
  </si>
  <si>
    <t>Me Heritier ILELE</t>
  </si>
  <si>
    <t>Administrateur Général</t>
  </si>
  <si>
    <t>hiele@groupecide.cd;heritierle.juriste.cd@gmail.com</t>
  </si>
  <si>
    <t>区域性综合机构，公开资料有限</t>
  </si>
  <si>
    <t>未检索到近期权威公开活动记录（建议进一步核实活跃度）</t>
  </si>
  <si>
    <t>Fundación Protestante Hora de Obrar</t>
  </si>
  <si>
    <t>Hora de Obrar</t>
  </si>
  <si>
    <t>阿根廷</t>
  </si>
  <si>
    <t>布宜诺斯艾利斯（Buenos Aires）</t>
  </si>
  <si>
    <t>是（在拉丁美洲开展合作项目）</t>
  </si>
  <si>
    <t>Fundación Protestante Hora de Obrar 成立于1992年，是一家总部位于阿根廷布宜诺斯艾利斯的非营利基金会，具有新教背景。机构致力于社会服务与社区发展，重点关注粮食安全、农村发展、环境可持续发展及社会公平议题。通过本地项目与区域合作网络，支持弱势社区能力建设与社会融合。</t>
  </si>
  <si>
    <t>拉丁美洲</t>
  </si>
  <si>
    <t>非营利基金会 (Nonprofit Foundation)</t>
  </si>
  <si>
    <t>宗教背景公益组织 (Faith-based Organization)</t>
  </si>
  <si>
    <t>粮食安全 (Food Security)</t>
  </si>
  <si>
    <t>可持续发展 (Sustainable Development)</t>
  </si>
  <si>
    <t>Lic. Nicolás Rosenthal</t>
  </si>
  <si>
    <t>Director Ejecutivo</t>
  </si>
  <si>
    <t>director@horadeobrar.org.ar</t>
  </si>
  <si>
    <t>https://www.horadeobrar.org.ar</t>
  </si>
  <si>
    <t>阿根廷新教背景公益机构</t>
  </si>
  <si>
    <t>正常运营（官网2024-2025持续发布项目与新闻）</t>
  </si>
  <si>
    <t>Worldwide Initiatives for Grantmaker Support</t>
  </si>
  <si>
    <t>WINGS</t>
  </si>
  <si>
    <t>是（全球50+国家成员网络）</t>
  </si>
  <si>
    <t>WINGS 成立于2000年，是一家总部位于荷兰阿姆斯特丹的全球慈善支持组织网络。其核心使命是构建和强化全球慈善生态系统，连接区域性与国家级公益支持组织（Philanthropy Support Organizations, PSOs），推动跨境合作与能力建设。WINGS 通过研究报告、全球会议与网络协调机制，促进公益治理、影响力投资与慈善创新发展。</t>
  </si>
  <si>
    <t>非营利网络组织 (Nonprofit Network Organization)</t>
  </si>
  <si>
    <t>慈善支持平台 (Philanthropy Support Platform)</t>
  </si>
  <si>
    <t>公益生态系统建设 (Philanthropy Ecosystem Development)</t>
  </si>
  <si>
    <t>国际协作 (International Collaboration)</t>
  </si>
  <si>
    <t>Eva Rehse</t>
  </si>
  <si>
    <t>Network and Ecosystems Director</t>
  </si>
  <si>
    <t>erehse@wingsweb.org</t>
  </si>
  <si>
    <t>https://www.wingsweb.org</t>
  </si>
  <si>
    <t>全球慈善支持组织网络协调平台</t>
  </si>
  <si>
    <t>暂无在华注册代表处；通过亚洲合作伙伴间接合作</t>
  </si>
  <si>
    <t>正常运营（官网2024-2025持续发布全球网络活动）</t>
  </si>
  <si>
    <t>RMI</t>
  </si>
  <si>
    <t>RMI（原 Rocky Mountain Institute）</t>
  </si>
  <si>
    <t>落基山研究所</t>
  </si>
  <si>
    <t>博尔德（Boulder, Colorado）</t>
  </si>
  <si>
    <t>否（未检索到独立注册代表处信息）</t>
  </si>
  <si>
    <t>是（设有RMI China项目团队）</t>
  </si>
  <si>
    <t>RMI 成立于1982年，是一家总部位于美国科罗拉多州博尔德的国际能源与气候政策研究机构。机构致力于推动全球能源系统向低碳与零碳转型，重点领域包括电力系统改革、建筑节能、交通脱碳、绿色金融及城市可持续发展。RMI 通过研究报告、政策咨询与多方合作，推动政府与企业加速实现气候目标。在中国，RMI长期开展能源转型研究与政策合作项目。</t>
  </si>
  <si>
    <t>全球（重点在美国、中国、欧洲）</t>
  </si>
  <si>
    <t>非营利研究机构 (Nonprofit Research Organization)</t>
  </si>
  <si>
    <t>研究与政策咨询机构 (Research &amp; Policy Advisory Organization)</t>
  </si>
  <si>
    <t>气候与能源转型机构</t>
  </si>
  <si>
    <t>能源转型 (Energy Transition)</t>
  </si>
  <si>
    <t>气候变化 (Climate Change Mitigation)</t>
  </si>
  <si>
    <t>绿色金融 (Green Finance)</t>
  </si>
  <si>
    <t>Lucy Lu</t>
  </si>
  <si>
    <t>Manager</t>
  </si>
  <si>
    <t>llu@rmi.org</t>
  </si>
  <si>
    <t>https://rmi.org</t>
  </si>
  <si>
    <t>+1-303-245-1003</t>
  </si>
  <si>
    <t>国际能源转型研究机构，在中国长期开展合作研究项目</t>
  </si>
  <si>
    <t>在华开展业务（RMI China项目团队）</t>
  </si>
  <si>
    <t>正常运营（官网2024-2026持续发布能源与气候报告）</t>
  </si>
  <si>
    <t>Viswa Yuva Kendra</t>
  </si>
  <si>
    <t>VYK</t>
  </si>
  <si>
    <t>1982（公开资料显示）</t>
  </si>
  <si>
    <t>印度</t>
  </si>
  <si>
    <t>奥迪沙邦（Odisha）</t>
  </si>
  <si>
    <t>Viswa Yuva Kendra 是一家总部位于印度奥迪沙邦的非营利组织，成立于20世纪80年代，致力于青年赋能与社区发展。机构通过技能培训、农村发展项目、教育支持与社区参与活动，促进青年能力提升与基层社会发展。其工作主要集中在印度地方社区层面，推动社会融合与经济自立。</t>
  </si>
  <si>
    <t>青年与社区发展机构</t>
  </si>
  <si>
    <t>青年赋能 (Youth Empowerment)</t>
  </si>
  <si>
    <t>技能培训 (Skill Development)</t>
  </si>
  <si>
    <t>Manoj K. Mohapatra</t>
  </si>
  <si>
    <t>manojvyk@rediffmail.com</t>
  </si>
  <si>
    <t>未检索到独立官网</t>
  </si>
  <si>
    <t>印度区域性青年发展组织</t>
  </si>
  <si>
    <t>未检索到近期国际公开报告（区域机构，公开信息有限）</t>
  </si>
  <si>
    <t>WINGS for Asia</t>
  </si>
  <si>
    <t>WINGS Asia</t>
  </si>
  <si>
    <t>2000（随WINGS成立）</t>
  </si>
  <si>
    <t>荷兰（法律主体所在地）</t>
  </si>
  <si>
    <t>阿姆斯特丹（法律主体）</t>
  </si>
  <si>
    <t>是（亚洲区域网络协调机制）</t>
  </si>
  <si>
    <t>WINGS for Asia 是全球慈善支持组织网络 WINGS 的亚洲区域协作单元，并非独立法人机构。其主要职责为协调亚洲地区的公益支持组织（PSOs）、促进区域交流与能力建设，并推动全球慈善生态系统在亚洲的协作发展。作为全球网络的区域平台，其活动以会议协调、知识分享与区域合作为主。</t>
  </si>
  <si>
    <t>亚洲</t>
  </si>
  <si>
    <t>网络区域单元 (Regional Network Unit)</t>
  </si>
  <si>
    <t>区域协调平台 (Regional Coordination Platform)</t>
  </si>
  <si>
    <t>慈善支持网络</t>
  </si>
  <si>
    <t>区域协作 (Regional Collaboration)</t>
  </si>
  <si>
    <t>Jodel Dacara</t>
  </si>
  <si>
    <t>Regional Coordinator</t>
  </si>
  <si>
    <t>JDACARA@wingsweb.org</t>
  </si>
  <si>
    <t>全球WINGS网络的亚洲区域协调机制（非独立法人）</t>
  </si>
  <si>
    <t>正常运营（作为WINGS区域单元持续开展活动）</t>
  </si>
  <si>
    <t>Organization of Islamic Cooperation</t>
  </si>
  <si>
    <t>OIC</t>
  </si>
  <si>
    <t>伊斯兰合作组织</t>
  </si>
  <si>
    <t>中东 (Middle East)</t>
  </si>
  <si>
    <t>沙特阿拉伯</t>
  </si>
  <si>
    <t>吉达（Jeddah）</t>
  </si>
  <si>
    <t>是（57个成员国）</t>
  </si>
  <si>
    <t>Organization of Islamic Cooperation（OIC）成立于1969年，是由伊斯兰国家组成的政府间国际组织，总部设于沙特阿拉伯吉达。OIC 致力于促进成员国在经济、社会、文化、教育及人道事务等领域的合作，并推动成员国在国际事务中的协调立场。作为多边政府间组织，其运作机制包括部长级会议、常设委员会及下属专门机构。</t>
  </si>
  <si>
    <t>成员国分布于中东、非洲、亚洲</t>
  </si>
  <si>
    <t>政府间国际组织 (Intergovernmental Organization)</t>
  </si>
  <si>
    <t>多边合作机制 (Multilateral Organization)</t>
  </si>
  <si>
    <t>国际政策协调平台</t>
  </si>
  <si>
    <t>经济合作 (Economic Cooperation)</t>
  </si>
  <si>
    <t>社会与文化发展 (Social &amp; Cultural Development)</t>
  </si>
  <si>
    <t>人道事务 (Humanitarian Affairs)</t>
  </si>
  <si>
    <t>Dr. Amina Alhajri</t>
  </si>
  <si>
    <t>amina.alhajri@gmail.com;aalhajri@oic-oci.org</t>
  </si>
  <si>
    <t>https://www.oic-oci.org</t>
  </si>
  <si>
    <t>+966-12-651-5222</t>
  </si>
  <si>
    <t>不适用（政府间国际组织）</t>
  </si>
  <si>
    <t>57个成员国的多边合作平台</t>
  </si>
  <si>
    <t>暂无在华常驻代表处</t>
  </si>
  <si>
    <t>正常运营（官网2024-2026持续发布会议与政策声明）</t>
  </si>
  <si>
    <t>Poverty Alleviation and Inclusive Development Across Rural Sindh</t>
  </si>
  <si>
    <t>PAIDAR</t>
  </si>
  <si>
    <t>巴基斯坦</t>
  </si>
  <si>
    <t>信德省（Sindh Province）</t>
  </si>
  <si>
    <t>联合国项目机制 (UN Project Platform)</t>
  </si>
  <si>
    <t>项目型机制 (Project-based Initiative)</t>
  </si>
  <si>
    <t>发展合作项目</t>
  </si>
  <si>
    <t>减贫 (Poverty Alleviation)</t>
  </si>
  <si>
    <t>农村发展 (Rural Development)</t>
  </si>
  <si>
    <t>包容性经济 (Inclusive Development)</t>
  </si>
  <si>
    <t>未显示姓名</t>
  </si>
  <si>
    <t>项目职位</t>
  </si>
  <si>
    <t>paidar-info@unido.org</t>
  </si>
  <si>
    <t>https://www.unido.org</t>
  </si>
  <si>
    <t>不适用（UN项目）</t>
  </si>
  <si>
    <t>UNIDO与欧盟资助项目机制</t>
  </si>
  <si>
    <t>作为UNIDO项目持续运营（具体项目周期内）</t>
  </si>
  <si>
    <t>PAIDAR（Poverty Alleviation and Inclusive Development Across Rural Sindh）是由联合国工业发展组织（UNIDO）实施2021–2025（阶段性执行）、欧盟资助的减贫与包容性发展项目机制。该项目聚焦巴基斯坦信德省农村地区，通过产业支持、技能培训与社区发展措施推动经济包容与农村减贫。PAIDAR 并非独立法人机构，而是UNIDO框架下的项目平台。</t>
    <phoneticPr fontId="1" type="noConversion"/>
  </si>
  <si>
    <t>New Energy Nexus</t>
  </si>
  <si>
    <t>伯克利（Berkeley, California）</t>
  </si>
  <si>
    <t>是（设有New Energy Nexus China项目网络）</t>
  </si>
  <si>
    <t>New Energy Nexus 成立于2016年，是一家总部位于美国加州伯克利的非营利组织，专注于清洁能源与气候科技创业支持。机构通过创业加速器、投资对接、能力建设与政策支持，推动新能源领域初创企业成长。其网络覆盖中国、印度、东南亚及非洲等地区，在全球范围内构建绿色创新生态系统。在中国，New Energy Nexus 长期支持清洁能源创业与气候创新项目。</t>
  </si>
  <si>
    <t>全球（重点在美国、中国、印度）</t>
  </si>
  <si>
    <t>创业支持机构 (Entrepreneurship Support Organization)</t>
  </si>
  <si>
    <t>气候科技加速器 (Climate Tech Accelerator)</t>
  </si>
  <si>
    <t>清洁能源 (Clean Energy)</t>
  </si>
  <si>
    <t>气候科技创新 (Climate Tech Innovation)</t>
  </si>
  <si>
    <t>创业孵化 (Startup Incubation)</t>
  </si>
  <si>
    <t>Andrew Chang</t>
  </si>
  <si>
    <t>Chief Growth Officer</t>
  </si>
  <si>
    <t>andrew.chang@newenergynexus.com</t>
  </si>
  <si>
    <t>https://www.newenergynexus.com</t>
  </si>
  <si>
    <t>全球清洁能源创业支持网络</t>
  </si>
  <si>
    <t>在华开展业务（New Energy Nexus China 项目网络）</t>
  </si>
  <si>
    <t>正常运营（官网2024-2026持续发布创业支持项目）</t>
  </si>
  <si>
    <t>Centre for Community Development</t>
  </si>
  <si>
    <t>CCD</t>
  </si>
  <si>
    <t>Centre for Community Development（CCD）是一家总部位于印度奥迪沙邦的非营利组织，致力于农村社区发展与基层能力建设。机构通过基础设施改善、生计支持、社会服务与社区组织建设项目，推动地方经济与社会发展。其工作主要集中于印度地方社区层面，强调基层参与与可持续发展。</t>
  </si>
  <si>
    <t>社区发展机构</t>
  </si>
  <si>
    <t>生计支持 (Livelihood Support)</t>
  </si>
  <si>
    <t>A Jagannadha Raju</t>
  </si>
  <si>
    <t>Secretary cum Director</t>
  </si>
  <si>
    <t>ccddevraju@gmail.com;ccdgajapati@gmail.com</t>
  </si>
  <si>
    <t>印度区域性社区发展机构</t>
  </si>
  <si>
    <t>奥地利</t>
  </si>
  <si>
    <t>LUMIQUE Gesellschaft für strategische Managementservices mbH 是一家总部位于奥地利维也纳的战略管理咨询公司（GmbH）。机构主要提供战略规划、组织发展、管理优化及公共事务相关咨询服务，服务对象包括企业与公共部门。作为商业咨询公司，其业务以专业顾问服务为主。</t>
  </si>
  <si>
    <t>商业机构 (For-profit Company)</t>
  </si>
  <si>
    <t>战略咨询公司 (Strategic Management Consultancy)</t>
  </si>
  <si>
    <t>企业与公共事务咨询</t>
  </si>
  <si>
    <t>组织发展 (Organizational Development)</t>
  </si>
  <si>
    <t>战略管理 (Strategic Management)</t>
  </si>
  <si>
    <t>公共事务咨询 (Public Affairs Consulting)</t>
  </si>
  <si>
    <t>Mischa Skribot博士</t>
  </si>
  <si>
    <t>管理合伙人</t>
  </si>
  <si>
    <t>mischa.skribot@lumique.com</t>
  </si>
  <si>
    <t>https://www.lumique.com</t>
  </si>
  <si>
    <t>奥地利战略管理咨询公司（商业法人）</t>
  </si>
  <si>
    <t>正常运营（商业咨询机构）</t>
  </si>
  <si>
    <t>LUMIQUE Gesellschaft für strategische Managementservices mbH</t>
    <phoneticPr fontId="1" type="noConversion"/>
  </si>
  <si>
    <t xml:space="preserve">LUMIQUE GmbH
</t>
    <phoneticPr fontId="1" type="noConversion"/>
  </si>
  <si>
    <t>Grow Climate Fund</t>
  </si>
  <si>
    <t>GROW CLIMATE FUND</t>
  </si>
  <si>
    <t>约2021年（公开活动时间）</t>
  </si>
  <si>
    <t>未检索到具体总部城市</t>
  </si>
  <si>
    <t>Grow Climate Fund 是一家专注于气候行动组织能力建设与资金支持的平台型机构，主要为气候领域组织提供资源对接与发展支持。其工作重点包括气候倡导网络建设、组织发展支持与能力提升。作为新兴气候资助平台，公开法人结构信息有限。</t>
  </si>
  <si>
    <t>北美洲</t>
  </si>
  <si>
    <t>气候资助平台 (Climate Funding Platform)</t>
  </si>
  <si>
    <t>能力建设支持机构 (Capacity-building Support Organization)</t>
  </si>
  <si>
    <t>气候行动资助平台</t>
  </si>
  <si>
    <t>气候行动 (Climate Action)</t>
  </si>
  <si>
    <t>组织能力建设 (Organizational Development)</t>
  </si>
  <si>
    <t>网络支持 (Network Support)</t>
  </si>
  <si>
    <t>Siddharth Thakur</t>
  </si>
  <si>
    <t>Associate Director, Organizational Development</t>
  </si>
  <si>
    <t>siddharth@growclimatefund.org</t>
  </si>
  <si>
    <t>https://www.growclimatefund.org</t>
  </si>
  <si>
    <t>气候组织能力建设资助平台</t>
  </si>
  <si>
    <t>正常运营（官网持续发布项目信息）</t>
  </si>
  <si>
    <t>The Resource Alliance</t>
  </si>
  <si>
    <t>The Resource Alliance 是一家总部位于英国伦敦的注册慈善机构，成立于2002年，致力于推动全球公益筹资与资源动员能力建设。机构通过举办国际筹资大会（International Fundraising Congress, IFC）、培训项目与知识分享平台，支持全球非营利组织提升筹资能力与战略发展。其网络覆盖全球公益组织与筹资从业者，是全球筹资领域的重要支持平台。</t>
  </si>
  <si>
    <t>筹资支持组织 (Fundraising Support Organization)</t>
  </si>
  <si>
    <t>公益资源动员平台</t>
  </si>
  <si>
    <t>筹资能力建设 (Fundraising Capacity Building)</t>
  </si>
  <si>
    <t>公益领导力发展 (Nonprofit Leadership Development)</t>
  </si>
  <si>
    <t>William van Rijn</t>
  </si>
  <si>
    <t>CEO</t>
  </si>
  <si>
    <t>william@resource-alliance.org</t>
  </si>
  <si>
    <t>https://www.resource-alliance.org</t>
  </si>
  <si>
    <t>国际筹资大会（IFC）主办机构</t>
  </si>
  <si>
    <t>正常运营（官网2024-2026持续发布活动）</t>
  </si>
  <si>
    <t>Micron Memory Taiwan Co., Ltd.</t>
  </si>
  <si>
    <t>Micron Taiwan</t>
  </si>
  <si>
    <t>美光记忆体台湾股份有限公司</t>
  </si>
  <si>
    <t>中国台湾</t>
  </si>
  <si>
    <t>台中（Taichung）</t>
  </si>
  <si>
    <t>Micron Memory Taiwan Co., Ltd. 是美国 Micron Technology, Inc. 在台湾设立的主要半导体制造子公司，成立于2003年前后。公司专注于DRAM与NAND存储器的研发与生产，是全球存储芯片产业的重要制造基地之一。除核心制造业务外，公司亦开展企业社会责任与社区参与项目。</t>
  </si>
  <si>
    <t>台湾</t>
  </si>
  <si>
    <t>商业企业 (For-profit Corporation)</t>
  </si>
  <si>
    <t>半导体制造企业 (Semiconductor Manufacturer)</t>
  </si>
  <si>
    <t>跨国企业子公司</t>
  </si>
  <si>
    <t>半导体制造 (Semiconductor Manufacturing)</t>
  </si>
  <si>
    <t>科技研发 (Technology R&amp;D)</t>
  </si>
  <si>
    <t>企业社会责任 (Corporate Social Responsibility)</t>
  </si>
  <si>
    <t>Ivy Hung</t>
  </si>
  <si>
    <t>Senior Program Manager, Micron Social Impact</t>
  </si>
  <si>
    <t>ivyhung@micron.com</t>
  </si>
  <si>
    <t>https://www.micron.com</t>
  </si>
  <si>
    <t>美国 Micron Technology 子公司</t>
  </si>
  <si>
    <t>暂无在中国大陆注册独立主体（以该名称）</t>
  </si>
  <si>
    <t>正常运营（全球半导体制造企业）</t>
  </si>
  <si>
    <t>South African BRICS Think Tank</t>
  </si>
  <si>
    <t>SABTT</t>
  </si>
  <si>
    <t>南非金砖国家智库</t>
  </si>
  <si>
    <t>南非</t>
  </si>
  <si>
    <t>约翰内斯堡（秘书处设于NIHSS）</t>
  </si>
  <si>
    <t>South African BRICS Think Tank（SABTT）成立于2013年，是南非参与金砖国家（BRICS）智库合作机制的政策研究平台。该机制由 NIHSS 承担秘书处职能，聚焦金砖国家间的政策协调、学术研究与多边合作议题，推动经济发展、全球治理与区域合作研究。SABTT 属于机制型智库网络，并非独立法人机构。</t>
  </si>
  <si>
    <t>金砖国家框架</t>
  </si>
  <si>
    <t>机制型智库网络 (Policy Network Mechanism)</t>
  </si>
  <si>
    <t>多边政策研究平台 (Multilateral Think Tank Platform)</t>
  </si>
  <si>
    <t>金砖合作机制</t>
  </si>
  <si>
    <t>全球治理 (Global Governance)</t>
  </si>
  <si>
    <t>政策研究 (Policy Research)</t>
  </si>
  <si>
    <t>Auriel Niemack</t>
  </si>
  <si>
    <t>秘书处负责人</t>
  </si>
  <si>
    <t>auriel@nihss.ac.za</t>
  </si>
  <si>
    <t>https://www.nihss.ac.za</t>
  </si>
  <si>
    <t>不适用（BRICS机制）</t>
  </si>
  <si>
    <t>金砖国家智库合作机制（秘书处设于NIHSS）</t>
  </si>
  <si>
    <t>暂无在华注册代表处；通过金砖智库框架与中国机构合作</t>
  </si>
  <si>
    <t>正常运作（金砖框架机制内持续活动）</t>
  </si>
  <si>
    <t>正常运营（官网持续更新）</t>
  </si>
  <si>
    <t>China Council for the Promotion of International Trade Representative Office in Thailand</t>
  </si>
  <si>
    <t>CCPIT Thailand Office</t>
  </si>
  <si>
    <t>中国国际贸易促进委员会驻泰国代表处</t>
  </si>
  <si>
    <t>1952（母机构成立时间）</t>
  </si>
  <si>
    <t>泰国</t>
  </si>
  <si>
    <t>不适用</t>
  </si>
  <si>
    <t>中国国际贸易促进委员会（CCPIT）驻泰国代表处是CCPIT在泰国设立的官方经贸促进机构办事机构，主要负责推动中泰两国企业经贸合作与商务对接，提供信息服务、投资促进与贸易支持。该代表处不作为独立法人存在，隶属于中国国际贸易促进委员会。</t>
  </si>
  <si>
    <t>官方机构境外代表处 (Government Representative Office)</t>
  </si>
  <si>
    <t>经贸促进机构 (Trade Promotion Office)</t>
  </si>
  <si>
    <t>政府背景机构</t>
  </si>
  <si>
    <t>经贸合作 (Trade Cooperation)</t>
  </si>
  <si>
    <t>投资促进 (Investment Promotion)</t>
  </si>
  <si>
    <t>企业服务 (Business Services)</t>
  </si>
  <si>
    <t>马艳玲</t>
  </si>
  <si>
    <t>首席代表</t>
  </si>
  <si>
    <t>mayanling@ccpit.org</t>
  </si>
  <si>
    <t>https://www.ccpit.org</t>
  </si>
  <si>
    <t>不适用（官方机构）</t>
  </si>
  <si>
    <t>中国国家级经贸促进机构境外办事处</t>
  </si>
  <si>
    <t>不适用（中国机构境外代表处）</t>
  </si>
  <si>
    <t>Association des Entreprises Chinoises en France</t>
  </si>
  <si>
    <t>法国中国工商会</t>
  </si>
  <si>
    <t>法国中国工商会（Association des Entreprises Chinoises en France）成立于2009年，是在法国注册的企业商会组织，旨在促进中法企业间的经贸合作与交流。机构为在法中资企业提供商务对接、政策沟通与信息服务支持，推动双边投资与贸易合作。该组织属于企业协会性质，不作为政府机构或公益组织。</t>
  </si>
  <si>
    <t>注册协会 (Registered Association)</t>
  </si>
  <si>
    <t>商会组织 (Business Association)</t>
  </si>
  <si>
    <t>企业服务平台</t>
  </si>
  <si>
    <t>商务对接 (Business Networking)</t>
  </si>
  <si>
    <t>企业服务 (Corporate Services)</t>
  </si>
  <si>
    <t>李文（Wenguo Li）</t>
  </si>
  <si>
    <t>秘书长</t>
  </si>
  <si>
    <t>liwenguo@ccpit.org;liwenguo130@gmail.com</t>
  </si>
  <si>
    <t>在法中资企业商会组织</t>
  </si>
  <si>
    <t>Urgewald e.V.</t>
  </si>
  <si>
    <t>Urgewald</t>
  </si>
  <si>
    <t>Sassenberg（德国北威州）</t>
  </si>
  <si>
    <t>Urgewald e.V. 成立于1992年，是一家总部位于德国的环境非政府组织，专注于金融与能源领域的环境与社会影响监督。机构通过研究报告、投资分析与政策倡导，监督多边开发银行与私营金融机构对煤炭、石油和天然气项目的投融资行为。Urgewald 是全球“煤炭退出名单（Global Coal Exit List, GCEL）”的发布机构，在可持续金融与化石能源退出倡议领域具有较高国际影响力。</t>
  </si>
  <si>
    <t>全球（重点在欧洲与多边金融机构领域）</t>
  </si>
  <si>
    <t>注册协会 (Registered Association, e.V.)</t>
  </si>
  <si>
    <t>环境与金融监督机构</t>
  </si>
  <si>
    <t>气候变化 (Climate Change)</t>
  </si>
  <si>
    <t>可持续金融 (Sustainable Finance)</t>
  </si>
  <si>
    <t>Dr Nora Sausmikat</t>
  </si>
  <si>
    <t>Multilateral Financial Institutions Program</t>
  </si>
  <si>
    <t>nora.sausmikat@urgewald.org</t>
  </si>
  <si>
    <t>https://www.urgewald.org</t>
  </si>
  <si>
    <t>+49 2583 1031</t>
  </si>
  <si>
    <t>全球煤炭退出名单（GCEL）发布机构</t>
  </si>
  <si>
    <t>正常运营（官网2024-2026持续发布金融监督报告）</t>
  </si>
  <si>
    <t>Empact Pte. Ltd.</t>
  </si>
  <si>
    <t>empact.sg</t>
  </si>
  <si>
    <t>Empact 是一家总部位于新加坡的社会影响力与创新平台，注册为私人有限公司（Pte. Ltd.）。机构通过社会创新孵化、企业社会责任战略支持及跨界资源整合，推动企业与公益部门合作，促进社会影响力项目落地。其业务以商业咨询与项目设计为主。</t>
  </si>
  <si>
    <t>商业机构 (Private Limited Company)</t>
  </si>
  <si>
    <t>社会影响力咨询平台 (Social Impact Consultancy)</t>
  </si>
  <si>
    <t>社会创新支持平台</t>
  </si>
  <si>
    <t>社会创新 (Social Innovation)</t>
  </si>
  <si>
    <t>企业社会责任 (CSR)</t>
  </si>
  <si>
    <t>跨界合作 (Cross-sector Collaboration)</t>
  </si>
  <si>
    <t>Peter Yang</t>
  </si>
  <si>
    <t>peter.yang@empact.sg</t>
  </si>
  <si>
    <t>https://www.empact.sg</t>
  </si>
  <si>
    <t>新加坡社会影响力咨询机构</t>
  </si>
  <si>
    <t>2019年</t>
    <phoneticPr fontId="1" type="noConversion"/>
  </si>
  <si>
    <t>Asia House Denmark</t>
  </si>
  <si>
    <t>Asia House</t>
  </si>
  <si>
    <t>丹麦</t>
  </si>
  <si>
    <t>Asia House Denmark 成立于2007年，是一家总部位于丹麦哥本哈根的非营利基金会，致力于促进北欧与亚洲之间的战略合作与商务交流。机构通过政策对话、企业交流平台与专题活动，推动投资合作、可持续发展与区域伙伴关系建设。其定位为跨区域战略合作平台。</t>
  </si>
  <si>
    <t>欧洲-亚洲合作框架</t>
  </si>
  <si>
    <t>基金会 (Foundation)</t>
  </si>
  <si>
    <t>战略合作平台 (Strategic Cooperation Platform)</t>
  </si>
  <si>
    <t>区域交流平台</t>
  </si>
  <si>
    <t>国际合作 (International Cooperation)</t>
  </si>
  <si>
    <t>商务交流 (Business Dialogue)</t>
  </si>
  <si>
    <t>政策对话 (Policy Dialogue)</t>
  </si>
  <si>
    <t>Torben Krab</t>
  </si>
  <si>
    <t>Strategy and Partnerships</t>
  </si>
  <si>
    <t>tkr@asia-house.dk</t>
  </si>
  <si>
    <t>https://www.asia-house.dk</t>
  </si>
  <si>
    <t>+45 33 93 60 00</t>
  </si>
  <si>
    <t>丹麦-亚洲战略合作平台</t>
  </si>
  <si>
    <t>正常运营（官网持续发布活动）</t>
  </si>
  <si>
    <t>Spaces Impact</t>
  </si>
  <si>
    <t>丹麦（推定）</t>
  </si>
  <si>
    <t>Spaces Impact 是一家社会影响与创新合作平台，致力于通过跨界合作与空间项目设计，推动可持续发展与社会创新实践。机构通过项目策划、合作对接与资源整合，支持企业与公益组织开展影响力项目。公开法人注册信息有限。</t>
  </si>
  <si>
    <t>社会影响平台 (Social Impact Platform)</t>
  </si>
  <si>
    <t>创新合作平台 (Innovation Collaboration Platform)</t>
  </si>
  <si>
    <t>跨界合作平台</t>
  </si>
  <si>
    <t>https://www.spacesimpact.org</t>
  </si>
  <si>
    <t>与Asia House存在合作关联</t>
  </si>
  <si>
    <t>Sovereign Forest</t>
  </si>
  <si>
    <t>Sovereign Forest 是一家总部位于巴西的林业与自然资本投资机构，专注于可持续森林资产管理与碳汇项目开发。机构通过森林资源投资与长期管理，推动自然资本价值实现与气候相关资产配置。该机构属于商业实体，不属于非营利组织或基金会。</t>
  </si>
  <si>
    <t>自然资本投资机构 (Natural Capital Investment Firm)</t>
  </si>
  <si>
    <t>林业投资平台</t>
  </si>
  <si>
    <t>森林管理 (Forest Management)</t>
  </si>
  <si>
    <t>碳汇投资 (Carbon Credit Investment)</t>
  </si>
  <si>
    <t>自然资本 (Natural Capital)</t>
  </si>
  <si>
    <t>Frederico Rodrigues da Silva</t>
  </si>
  <si>
    <t>frederico.rodrigues@sovereignforest.com</t>
  </si>
  <si>
    <t>https://www.sovereignforest.com</t>
  </si>
  <si>
    <t>巴西林业资产投资机构</t>
  </si>
  <si>
    <t>Sovereign Forest</t>
    <phoneticPr fontId="1" type="noConversion"/>
  </si>
  <si>
    <t>IDS Brasil</t>
  </si>
  <si>
    <t>巴西可持续发展研究所</t>
  </si>
  <si>
    <t>Instituto de Desenvolvimento Sustentável（IDS Brasil）是一家巴西注册的非营利机构，致力于推动民主治理、社会公平与可持续发展相关议题。机构通过公共政策研究、社会倡导与合作项目，支持可持续发展与社会包容性议程。公开注册与运营信息相对有限。</t>
  </si>
  <si>
    <t>可持续发展倡导机构</t>
  </si>
  <si>
    <t>民主治理 (Democratic Governance)</t>
  </si>
  <si>
    <t>社会公平 (Social Equity)</t>
  </si>
  <si>
    <t>Dulce Maria Pereira</t>
  </si>
  <si>
    <t>dulce@idsbrasil.org</t>
  </si>
  <si>
    <t>巴西本土公共事务倡导机构</t>
  </si>
  <si>
    <t>正常运营（有限公开信息）</t>
  </si>
  <si>
    <t>Instituto de Desenvolvimento Sustentável</t>
    <phoneticPr fontId="1" type="noConversion"/>
  </si>
  <si>
    <t>亚马逊州Tefé（特费）</t>
  </si>
  <si>
    <t>Al-Mujadilah Center &amp; Mosque for Women</t>
  </si>
  <si>
    <t>Al-Mujadilah</t>
  </si>
  <si>
    <t>卡塔尔</t>
  </si>
  <si>
    <t>多哈（Doha）</t>
  </si>
  <si>
    <t>Al-Mujadilah Center &amp; Mosque for Women 成立于2022年，是由卡塔尔基金会支持设立的女性宗教与社区支持机构，总部位于卡塔尔多哈。机构致力于为女性提供宗教教育、社区服务与公共议题对话空间，被认为是全球首个专为女性设立的清真寺与学习中心之一。其活动涵盖文化交流、学术研讨与社会参与项目。</t>
  </si>
  <si>
    <t>宗教社会机构 (Faith-based Organization)</t>
  </si>
  <si>
    <t>社区支持机构 (Community Support Center)</t>
  </si>
  <si>
    <t>女性宗教与社会服务机构</t>
  </si>
  <si>
    <t>女性赋权 (Women Empowerment)</t>
  </si>
  <si>
    <t>宗教教育 (Religious Education)</t>
  </si>
  <si>
    <t>Mahveen Azam</t>
  </si>
  <si>
    <t>Policy and Partnerships Manager</t>
  </si>
  <si>
    <t>mahveenazam@df.org.qa</t>
  </si>
  <si>
    <t>https://www.almujadilah.qa</t>
  </si>
  <si>
    <t>卡塔尔基金会支持设立的女性宗教机构</t>
  </si>
  <si>
    <t>Thailand Environment Institute Foundation</t>
  </si>
  <si>
    <t>TEI</t>
  </si>
  <si>
    <t>泰国环境研究院</t>
  </si>
  <si>
    <t>Thailand Environment Institute（TEI）成立于1993年，是一家总部位于泰国曼谷的注册非营利基金会，专注于环境政策研究与可持续发展实践。机构在气候变化、生物多样性、循环经济与可持续城市等领域开展研究与政策倡导，并与联合国机构及区域发展银行开展合作项目。TEI 是东南亚地区具有影响力的环境研究机构之一。</t>
  </si>
  <si>
    <t>泰国及东南亚</t>
  </si>
  <si>
    <t>环境研究机构 (Environmental Research Organization)</t>
  </si>
  <si>
    <t>政策研究平台</t>
  </si>
  <si>
    <t>生物多样性 (Biodiversity)</t>
  </si>
  <si>
    <t>循环经济 (Circular Economy)</t>
  </si>
  <si>
    <t>Benj</t>
  </si>
  <si>
    <t>未显示完整职务</t>
  </si>
  <si>
    <t>benj@tei.or.th</t>
  </si>
  <si>
    <t>https://www.tei.or.th</t>
  </si>
  <si>
    <t>+66 2 886 0520</t>
  </si>
  <si>
    <t>东南亚环境政策研究机构</t>
  </si>
  <si>
    <t>正常运营（官网持续发布研究报告）</t>
  </si>
  <si>
    <t>Local Development Foundation</t>
  </si>
  <si>
    <t>Local Development Foundation 是一家泰国注册的非营利基金会，致力于推动基层社区发展与社会赋权。机构通过地方项目支持、社区组织建设与资源对接，促进地方经济与社会发展。公开注册信息与运营资料较为有限，属于区域性社区发展机构。</t>
  </si>
  <si>
    <t>基层赋权机构</t>
  </si>
  <si>
    <t>社会赋权 (Social Empowerment)</t>
  </si>
  <si>
    <t>地方治理 (Local Governance)</t>
  </si>
  <si>
    <t>Kritsada Boonchai</t>
  </si>
  <si>
    <t>guitarkob@yahoo.co.th</t>
  </si>
  <si>
    <t>泰国基层社区发展基金会</t>
  </si>
  <si>
    <t>正常运营（公开信息有限）</t>
  </si>
  <si>
    <t>Local Development Foundation</t>
    <phoneticPr fontId="1" type="noConversion"/>
  </si>
  <si>
    <t xml:space="preserve">Synergos（全球慈善与社区发展网络）：LDF 副主席兼基金会经理 Benjamas Siripatra 自1996年起担任 Synergos Senior Fellow（高级研究员），通过该平台参与国际知识分享、社区基金会发展及政策对话。
Canadian International Development Agency (CIDA，现 Global Affairs Canada)：LDF/LDI 于1991年成立时获 CIDA 大额资助（约1.51亿泰铢），1991-1998年间执行其基金项目，建立早期核心国际伙伴关系。
Asian Development Bank (ADB)：LDI 被 ADB 聘为项目管理代理，负责公民社会项目行政、子承包和监测（如与国家反腐败委员会合作的项目）。
World Bank：在泰国南部冲突地区和平建设项目中合作（如2009-2013年 Piloting Community Approaches in Conflict Situations 项目），提供资金支持本地社区和公民社会组织。
其他区域/项目性伙伴：与东南亚国际 NGO 合作培训、管理咨询和社会企业项目（如与缅甸 Covenant Development Institute 的伙伴关系）；间接参与全球社区基金会运动（通过 Synergos 和 WINGS 相关报告）；曾获日本资助用于海啸援助等。
</t>
    <phoneticPr fontId="1" type="noConversion"/>
  </si>
  <si>
    <t>Population and Community Development Association</t>
  </si>
  <si>
    <t>PDA</t>
  </si>
  <si>
    <t>泰国人口与社区发展协会</t>
  </si>
  <si>
    <t>Population and Community Development Association（PDA）成立于1974年，是泰国知名的社区发展与人口健康非营利组织。机构由社会企业家 Mechai Viravaidya 创立，长期致力于计划生育推广、艾滋病预防、农村发展与社区赋权项目。PDA 在泰国基层发展与公共健康领域具有较高影响力，并推动社会创新与可持续社区发展模式。</t>
  </si>
  <si>
    <t>发展型机构 (Development NGO)</t>
  </si>
  <si>
    <t>人口健康 (Population Health)</t>
  </si>
  <si>
    <t>WILAS TECHO</t>
  </si>
  <si>
    <t>pda@pda.or.th</t>
  </si>
  <si>
    <t>https://www.pda.or.th</t>
  </si>
  <si>
    <t>+66 2 229 4611</t>
  </si>
  <si>
    <t>泰国知名社区发展NGO</t>
  </si>
  <si>
    <t>正常运营（官网持续发布项目）</t>
  </si>
  <si>
    <t>Mae Fah Luang Foundation under Royal Patronage</t>
  </si>
  <si>
    <t>Mae Fah Luang Foundation</t>
  </si>
  <si>
    <t>美法銮基金会</t>
  </si>
  <si>
    <t>清莱（Chiang Rai）</t>
  </si>
  <si>
    <t>Mae Fah Luang Foundation under Royal Patronage 成立于1988年，是泰国王室支持的注册基金会，总部位于清莱。机构致力于推动农村可持续发展、环境修复与替代生计项目，其代表性项目包括“Doi Tung Development Project”，通过替代罂粟种植与社区赋权模式促进山区长期可持续发展。该基金会在替代发展与乡村振兴领域具有国际影响力。</t>
  </si>
  <si>
    <t>基金会 (Foundation under Royal Patronage)</t>
  </si>
  <si>
    <t>发展型基金会 (Development Foundation)</t>
  </si>
  <si>
    <t>农村可持续发展机构</t>
  </si>
  <si>
    <t>替代发展 (Alternative Development)</t>
  </si>
  <si>
    <t>环境修复 (Environmental Restoration)</t>
  </si>
  <si>
    <t>Thanapong Duangmanee, Ph.D.</t>
  </si>
  <si>
    <t>Director of Environmental Policy</t>
  </si>
  <si>
    <t>thanapong@doitung.org</t>
  </si>
  <si>
    <t>https://www.maefahluang.org</t>
  </si>
  <si>
    <t>+66 53 767 015</t>
  </si>
  <si>
    <t>王室支持的可持续发展基金会</t>
  </si>
  <si>
    <t>正常运营：作为私人基金会顾问或支持服务常见术语/实体，相关指南和规划工具持续更新（如 Foundation Planning Guide for Advisors 和私人基金会合规指南）；多家顾问公司（如 Foundation Source）提供相关服务，活跃于慈善规划领域。</t>
  </si>
  <si>
    <t>正常运营：官方网站 privatebanking.hsbc.com 活跃，2025-2026 年任命新领导；持续发布媒体声明、全球企业家财富报告和财富管理服务。</t>
  </si>
  <si>
    <t>正常运营：官方网站 accountabilitycounsel.org 活跃，2026 年发布博客和事件；持续支持社区权利、气候问责和国际金融投资监督。</t>
  </si>
  <si>
    <t>正常运营：官方网站 myriadaustralia.org 活跃，注册为澳大利亚慈善机构（ABN 20 640 318 636，DGR-1 税免地位）；持续提供国际慈善中介与合规服务。</t>
  </si>
  <si>
    <t>正常运营：官方网站 re-course.org 活跃；持续倡导发展融资民主治理、权利保护和环境可持续。</t>
  </si>
  <si>
    <t>正常运营：官方网站 groupecide.cd 活跃；刚果（金）志愿平台，持续人力资本与项目协调工作。</t>
  </si>
  <si>
    <t>正常运营：官方网站 horadeobrar.org.ar 活跃；在阿根廷、乌拉圭、巴拉圭开展社会与环境项目。</t>
  </si>
  <si>
    <t>正常运营：官方网站 wingsweb.org 活跃；全球 230+ 成员网络，持续会议、倡议与研究发布。</t>
  </si>
  <si>
    <t>正常运营：官方网站 rmi.org 活跃；发布 2025 年度报告，持续能源转型与零碳项目。</t>
  </si>
  <si>
    <t>正常运营：官方网站 viswayuvakendra.org 与 vishwayuvakkendra.org 活跃；持续青年赋权与社区发展项目。</t>
  </si>
  <si>
    <t>正常运营：作为 WINGS 网络亚洲分支持续活跃，支持区域慈善发展。</t>
  </si>
  <si>
    <t>正常运营：政府间国际组织，持续外交、经济与文化合作项目。</t>
  </si>
  <si>
    <t>正常运营：信德省农村扶贫与包容性发展相关倡议持续开展项目。</t>
  </si>
  <si>
    <t>正常运营：能源网络或相关倡议，持续清洁能源与创业支持活动。</t>
  </si>
  <si>
    <t>正常运营：社区发展组织，持续地方赋权与可持续发展项目。</t>
  </si>
  <si>
    <t>正常运营：德国战略管理服务公司，持续咨询与运营服务。</t>
  </si>
  <si>
    <t>正常运营：气候基金实体，持续气候融资与项目支持。</t>
  </si>
  <si>
    <t>正常运营：资源管理与可持续发展倡议持续运作。</t>
  </si>
  <si>
    <t>正常运营：美光科技台湾子公司，持续半导体内存生产与运营。</t>
  </si>
  <si>
    <t>正常运营：南非金砖国家智库，持续政策研究与合作分析。</t>
  </si>
  <si>
    <t>正常运营：中国贸促会驻泰代表处，持续中泰贸易促进活动。</t>
  </si>
  <si>
    <t>正常运营：法国中国企业协会，持续中法企业网络支持。</t>
  </si>
  <si>
    <t>正常运营：德国环境组织，持续环保与社区项目。</t>
  </si>
  <si>
    <t>正常运营：新加坡公司，持续社会影响相关运营。</t>
  </si>
  <si>
    <t>正常运营：丹麦亚洲之家，持续文化与商业交流项目。</t>
  </si>
  <si>
    <t>正常运营：社会影响组织或平台，持续项目运营。</t>
  </si>
  <si>
    <t>正常运营：主权森林倡议，持续环境与土著权利保护。</t>
  </si>
  <si>
    <t>正常运营：可持续发展研究机构，持续项目实施。</t>
  </si>
  <si>
    <t>正常运营：妇女中心与清真寺，持续社区支持与性别相关活动。</t>
  </si>
  <si>
    <t>正常运营：泰国环境研究所基金会，持续环境政策与项目推进。</t>
  </si>
  <si>
    <t>正常运营：地方发展基金会，持续社区发展倡议。</t>
  </si>
  <si>
    <t>正常运营：泰国人口与社区发展协会，持续人口与健康项目。</t>
  </si>
  <si>
    <t>正常运营：泰国 Mae Fah Luang 基金会，持续山区发展与生计项目。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</si>
</sst>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等线"/>
      <family val="2"/>
      <scheme val="minor"/>
    </font>
    <font>
      <sz val="9"/>
      <name val="等线"/>
      <family val="3"/>
      <charset val="134"/>
      <scheme val="minor"/>
    </font>
    <font>
      <sz val="12"/>
      <color theme="1"/>
      <name val="等线"/>
      <family val="2"/>
      <scheme val="minor"/>
    </font>
    <font>
      <b/>
      <sz val="12"/>
      <color theme="1"/>
      <name val="等线"/>
      <family val="4"/>
      <charset val="134"/>
      <scheme val="minor"/>
    </font>
    <font>
      <b/>
      <sz val="12"/>
      <color theme="0"/>
      <name val="等线"/>
      <family val="4"/>
      <charset val="134"/>
      <scheme val="minor"/>
    </font>
    <font>
      <sz val="12"/>
      <color theme="1"/>
      <name val="等线"/>
      <family val="4"/>
      <charset val="134"/>
      <scheme val="minor"/>
    </font>
    <font>
      <b/>
      <sz val="12"/>
      <color rgb="FFC00000"/>
      <name val="等线"/>
      <family val="4"/>
      <charset val="134"/>
      <scheme val="minor"/>
    </font>
    <font>
      <u/>
      <sz val="11"/>
      <color theme="10"/>
      <name val="等线"/>
      <family val="2"/>
      <scheme val="minor"/>
    </font>
    <font>
      <sz val="11"/>
      <color rgb="FF006100"/>
      <name val="等线"/>
      <family val="2"/>
      <charset val="134"/>
      <scheme val="minor"/>
    </font>
    <font>
      <b/>
      <sz val="14"/>
      <name val="等线"/>
      <family val="4"/>
      <charset val="134"/>
      <scheme val="minor"/>
    </font>
    <font>
      <sz val="14"/>
      <color theme="1"/>
      <name val="等线"/>
      <family val="4"/>
      <charset val="134"/>
      <scheme val="minor"/>
    </font>
    <font>
      <sz val="14"/>
      <color theme="1"/>
      <name val="Apple Color Emoji"/>
      <family val="4"/>
    </font>
    <font>
      <sz val="14"/>
      <name val="等线"/>
      <family val="4"/>
      <charset val="134"/>
      <scheme val="minor"/>
    </font>
    <font>
      <sz val="14"/>
      <color rgb="FFFF0000"/>
      <name val="等线"/>
      <family val="4"/>
      <charset val="134"/>
      <scheme val="minor"/>
    </font>
    <font>
      <sz val="14"/>
      <color theme="1"/>
      <name val="Apple Color Emoji"/>
      <family val="2"/>
    </font>
    <font>
      <sz val="14"/>
      <color theme="1"/>
      <name val="Segoe UI Emoji"/>
      <family val="2"/>
    </font>
    <font>
      <sz val="11"/>
      <name val="等线"/>
      <family val="3"/>
      <charset val="134"/>
      <scheme val="minor"/>
    </font>
    <font>
      <sz val="12"/>
      <name val="微软雅黑"/>
      <family val="2"/>
      <charset val="134"/>
    </font>
    <font>
      <sz val="12"/>
      <color theme="1"/>
      <name val="微软雅黑"/>
      <family val="2"/>
      <charset val="134"/>
    </font>
    <font>
      <b/>
      <sz val="12"/>
      <color theme="1"/>
      <name val="微软雅黑"/>
      <family val="2"/>
      <charset val="134"/>
    </font>
    <font>
      <b/>
      <sz val="12"/>
      <name val="微软雅黑"/>
      <family val="2"/>
      <charset val="134"/>
    </font>
    <font>
      <u/>
      <sz val="11"/>
      <name val="微软雅黑"/>
      <family val="2"/>
      <charset val="134"/>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bgColor indexed="64"/>
      </patternFill>
    </fill>
    <fill>
      <patternFill patternType="solid">
        <fgColor rgb="FFC6EFCE"/>
      </patternFill>
    </fill>
    <fill>
      <patternFill patternType="solid">
        <fgColor theme="8"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3">
    <xf numFmtId="0" fontId="0" fillId="0" borderId="0"/>
    <xf numFmtId="0" fontId="7" fillId="0" borderId="0" applyNumberFormat="0" applyFill="0" applyBorder="0" applyAlignment="0" applyProtection="0"/>
    <xf numFmtId="0" fontId="8" fillId="9" borderId="0" applyNumberFormat="0" applyBorder="0" applyAlignment="0" applyProtection="0">
      <alignment vertical="center"/>
    </xf>
  </cellStyleXfs>
  <cellXfs count="103">
    <xf numFmtId="0" fontId="0" fillId="0" borderId="0" xfId="0"/>
    <xf numFmtId="0" fontId="2" fillId="0" borderId="0" xfId="0" applyFont="1"/>
    <xf numFmtId="0" fontId="4" fillId="8" borderId="0" xfId="0" applyFont="1" applyFill="1" applyAlignment="1">
      <alignment horizontal="center" vertical="center"/>
    </xf>
    <xf numFmtId="31" fontId="2" fillId="0" borderId="0" xfId="0" applyNumberFormat="1" applyFont="1" applyAlignment="1">
      <alignment horizontal="center" vertical="center"/>
    </xf>
    <xf numFmtId="0" fontId="2" fillId="0" borderId="0" xfId="0" applyFont="1" applyAlignment="1">
      <alignment horizontal="center" vertical="center"/>
    </xf>
    <xf numFmtId="0" fontId="3" fillId="6" borderId="0" xfId="0" applyFont="1" applyFill="1"/>
    <xf numFmtId="0" fontId="5" fillId="6" borderId="0" xfId="0" applyFont="1" applyFill="1"/>
    <xf numFmtId="0" fontId="3" fillId="0" borderId="0" xfId="0" applyFont="1"/>
    <xf numFmtId="0" fontId="5" fillId="0" borderId="0" xfId="0" applyFont="1"/>
    <xf numFmtId="0" fontId="6" fillId="0" borderId="0" xfId="0" applyFont="1"/>
    <xf numFmtId="0" fontId="3" fillId="6" borderId="10" xfId="0" applyFont="1" applyFill="1" applyBorder="1" applyAlignment="1">
      <alignment vertical="center"/>
    </xf>
    <xf numFmtId="0" fontId="3" fillId="6" borderId="10" xfId="0" applyFont="1" applyFill="1" applyBorder="1" applyAlignment="1">
      <alignment horizontal="left" vertical="center"/>
    </xf>
    <xf numFmtId="0" fontId="3" fillId="6" borderId="4" xfId="0" applyFont="1" applyFill="1" applyBorder="1" applyAlignment="1">
      <alignment horizontal="left" vertical="center"/>
    </xf>
    <xf numFmtId="0" fontId="3" fillId="6" borderId="5" xfId="0" applyFont="1" applyFill="1" applyBorder="1" applyAlignment="1">
      <alignment horizontal="left" vertical="center"/>
    </xf>
    <xf numFmtId="0" fontId="3" fillId="6" borderId="16" xfId="0" applyFont="1" applyFill="1" applyBorder="1" applyAlignment="1">
      <alignment horizontal="left" vertical="center"/>
    </xf>
    <xf numFmtId="0" fontId="3" fillId="6" borderId="4" xfId="0" applyFont="1" applyFill="1" applyBorder="1" applyAlignment="1">
      <alignment vertical="center"/>
    </xf>
    <xf numFmtId="0" fontId="3" fillId="6" borderId="5" xfId="0" applyFont="1" applyFill="1" applyBorder="1" applyAlignment="1">
      <alignment vertical="center"/>
    </xf>
    <xf numFmtId="0" fontId="3" fillId="6" borderId="16" xfId="0" applyFont="1" applyFill="1" applyBorder="1" applyAlignment="1">
      <alignment vertical="center"/>
    </xf>
    <xf numFmtId="0" fontId="5" fillId="6" borderId="0" xfId="0" applyFont="1" applyFill="1" applyAlignment="1">
      <alignment vertical="center"/>
    </xf>
    <xf numFmtId="0" fontId="5" fillId="0" borderId="11" xfId="0" applyFont="1" applyBorder="1" applyAlignment="1">
      <alignment vertical="center"/>
    </xf>
    <xf numFmtId="0" fontId="5" fillId="0" borderId="0" xfId="0" applyFont="1" applyAlignment="1">
      <alignmen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6" xfId="0" applyFont="1" applyBorder="1" applyAlignment="1">
      <alignment vertical="center" wrapText="1"/>
    </xf>
    <xf numFmtId="0" fontId="5" fillId="0" borderId="7" xfId="0" applyFont="1" applyBorder="1" applyAlignment="1">
      <alignment vertical="center"/>
    </xf>
    <xf numFmtId="0" fontId="5" fillId="0" borderId="0" xfId="0" applyFont="1" applyAlignment="1">
      <alignment vertical="center"/>
    </xf>
    <xf numFmtId="0" fontId="5" fillId="0" borderId="11" xfId="0" applyFont="1" applyBorder="1" applyAlignment="1">
      <alignment horizontal="left" vertical="center" wrapText="1"/>
    </xf>
    <xf numFmtId="0" fontId="5" fillId="0" borderId="6" xfId="0" applyFont="1" applyBorder="1" applyAlignment="1">
      <alignment vertical="center"/>
    </xf>
    <xf numFmtId="0" fontId="5" fillId="0" borderId="8" xfId="0" applyFont="1" applyBorder="1" applyAlignment="1">
      <alignment vertical="center"/>
    </xf>
    <xf numFmtId="0" fontId="5" fillId="0" borderId="12" xfId="0" applyFont="1" applyBorder="1" applyAlignment="1">
      <alignment horizontal="left" vertical="center" wrapText="1"/>
    </xf>
    <xf numFmtId="0" fontId="5" fillId="0" borderId="9" xfId="0" applyFont="1" applyBorder="1" applyAlignment="1">
      <alignment vertical="center"/>
    </xf>
    <xf numFmtId="0" fontId="5" fillId="0" borderId="15" xfId="0" applyFont="1" applyBorder="1" applyAlignment="1">
      <alignment vertical="center"/>
    </xf>
    <xf numFmtId="0" fontId="2" fillId="0" borderId="0" xfId="0" applyFont="1" applyAlignment="1">
      <alignment horizontal="center" vertical="center" wrapText="1"/>
    </xf>
    <xf numFmtId="0" fontId="9" fillId="10" borderId="1" xfId="2" applyFont="1" applyFill="1" applyBorder="1" applyAlignment="1">
      <alignment horizontal="center" vertical="center"/>
    </xf>
    <xf numFmtId="0" fontId="10" fillId="0" borderId="0" xfId="0" applyFont="1"/>
    <xf numFmtId="0" fontId="10"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2" fillId="2" borderId="1" xfId="2" applyFont="1" applyFill="1" applyBorder="1" applyAlignment="1">
      <alignment horizontal="left" vertical="center" wrapText="1"/>
    </xf>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3" fillId="2" borderId="1" xfId="2" applyFont="1" applyFill="1" applyBorder="1" applyAlignment="1">
      <alignment horizontal="left" vertical="center" wrapText="1"/>
    </xf>
    <xf numFmtId="0" fontId="14" fillId="2" borderId="1" xfId="0" applyFont="1" applyFill="1" applyBorder="1" applyAlignment="1">
      <alignment horizontal="center" vertical="center" wrapText="1"/>
    </xf>
    <xf numFmtId="0" fontId="12" fillId="2" borderId="1" xfId="2" applyFont="1" applyFill="1" applyBorder="1" applyAlignment="1">
      <alignment horizontal="left" vertical="center"/>
    </xf>
    <xf numFmtId="0" fontId="0" fillId="2" borderId="1" xfId="0" applyFill="1" applyBorder="1" applyAlignment="1">
      <alignment horizontal="left" vertical="center" wrapText="1"/>
    </xf>
    <xf numFmtId="0" fontId="16" fillId="2" borderId="1" xfId="2" applyFont="1" applyFill="1" applyBorder="1" applyAlignment="1">
      <alignment horizontal="left" vertical="center" wrapText="1"/>
    </xf>
    <xf numFmtId="0" fontId="17" fillId="0" borderId="1" xfId="0" applyFont="1" applyBorder="1" applyAlignment="1">
      <alignment horizontal="center" vertical="center" wrapText="1"/>
    </xf>
    <xf numFmtId="0" fontId="18" fillId="0" borderId="0" xfId="0" applyFont="1" applyAlignment="1">
      <alignment horizontal="center" vertical="center"/>
    </xf>
    <xf numFmtId="0" fontId="19" fillId="7" borderId="2" xfId="0" applyFont="1" applyFill="1" applyBorder="1" applyAlignment="1">
      <alignment horizontal="center" vertical="center"/>
    </xf>
    <xf numFmtId="0" fontId="19" fillId="0" borderId="13" xfId="0" applyFont="1" applyBorder="1" applyAlignment="1">
      <alignment horizontal="centerContinuous" vertical="center" wrapText="1"/>
    </xf>
    <xf numFmtId="0" fontId="19" fillId="0" borderId="13" xfId="0" applyFont="1" applyBorder="1" applyAlignment="1">
      <alignment horizontal="left" vertical="top"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49" fontId="19" fillId="0" borderId="13" xfId="0" applyNumberFormat="1" applyFont="1" applyBorder="1" applyAlignment="1">
      <alignment horizontal="centerContinuous" vertical="center" wrapText="1"/>
    </xf>
    <xf numFmtId="0" fontId="19" fillId="0" borderId="14" xfId="0" applyFont="1" applyBorder="1" applyAlignment="1">
      <alignment horizontal="centerContinuous" vertical="center" wrapText="1"/>
    </xf>
    <xf numFmtId="0" fontId="19" fillId="0" borderId="0" xfId="0" applyFont="1" applyAlignment="1">
      <alignment vertical="center" wrapText="1"/>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9" fillId="5" borderId="1" xfId="0" applyFont="1" applyFill="1" applyBorder="1" applyAlignment="1">
      <alignment horizontal="center" vertical="center"/>
    </xf>
    <xf numFmtId="0" fontId="19" fillId="7" borderId="1" xfId="0" applyFont="1" applyFill="1" applyBorder="1" applyAlignment="1">
      <alignment horizontal="center" vertical="center"/>
    </xf>
    <xf numFmtId="0" fontId="19"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3" borderId="3" xfId="0" applyFont="1" applyFill="1" applyBorder="1" applyAlignment="1">
      <alignment horizontal="center" vertical="center"/>
    </xf>
    <xf numFmtId="0" fontId="19" fillId="4" borderId="1" xfId="0" applyFont="1" applyFill="1" applyBorder="1" applyAlignment="1">
      <alignment horizontal="center" vertical="center" wrapText="1"/>
    </xf>
    <xf numFmtId="49" fontId="19" fillId="5" borderId="1" xfId="0" applyNumberFormat="1" applyFont="1" applyFill="1" applyBorder="1" applyAlignment="1">
      <alignment horizontal="center" vertical="center"/>
    </xf>
    <xf numFmtId="0" fontId="19" fillId="7"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7" fillId="0" borderId="1" xfId="0" applyFont="1" applyBorder="1" applyAlignment="1">
      <alignment horizontal="left" vertical="top" wrapText="1"/>
    </xf>
    <xf numFmtId="49" fontId="17"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0" fontId="21" fillId="0" borderId="1" xfId="1" applyFont="1" applyBorder="1" applyAlignment="1">
      <alignment horizontal="center" vertical="center" wrapText="1"/>
    </xf>
    <xf numFmtId="0" fontId="17" fillId="0" borderId="0" xfId="0" applyFont="1" applyAlignment="1">
      <alignment horizontal="center" vertical="center" wrapText="1"/>
    </xf>
    <xf numFmtId="0" fontId="21" fillId="0" borderId="0" xfId="1" applyFont="1" applyAlignment="1">
      <alignment horizontal="center" vertical="center" wrapText="1"/>
    </xf>
    <xf numFmtId="0" fontId="18" fillId="0" borderId="1" xfId="0" applyFont="1" applyBorder="1" applyAlignment="1">
      <alignment horizontal="left" vertical="top" wrapText="1"/>
    </xf>
    <xf numFmtId="49"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0" fontId="19" fillId="0" borderId="13" xfId="0" applyFont="1" applyBorder="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top"/>
    </xf>
    <xf numFmtId="49" fontId="18" fillId="0" borderId="0" xfId="0" applyNumberFormat="1" applyFont="1" applyAlignment="1">
      <alignment horizontal="center" vertical="center"/>
    </xf>
    <xf numFmtId="0" fontId="0" fillId="0" borderId="0" xfId="0" applyAlignment="1">
      <alignment horizontal="center"/>
    </xf>
    <xf numFmtId="0" fontId="19" fillId="2" borderId="1" xfId="0" applyFont="1" applyFill="1" applyBorder="1" applyAlignment="1">
      <alignment horizontal="centerContinuous" vertical="center" wrapText="1"/>
    </xf>
    <xf numFmtId="0" fontId="19" fillId="2" borderId="2" xfId="0" applyFont="1" applyFill="1" applyBorder="1" applyAlignment="1">
      <alignment horizontal="centerContinuous" vertical="center"/>
    </xf>
    <xf numFmtId="0" fontId="19" fillId="2" borderId="13" xfId="0" applyFont="1" applyFill="1" applyBorder="1" applyAlignment="1">
      <alignment horizontal="centerContinuous" vertical="center"/>
    </xf>
    <xf numFmtId="0" fontId="19" fillId="2" borderId="3" xfId="0" applyFont="1" applyFill="1" applyBorder="1" applyAlignment="1">
      <alignment horizontal="centerContinuous" vertical="center"/>
    </xf>
    <xf numFmtId="0" fontId="19" fillId="4" borderId="1" xfId="0" applyFont="1" applyFill="1" applyBorder="1" applyAlignment="1">
      <alignment horizontal="centerContinuous" vertical="center"/>
    </xf>
    <xf numFmtId="0" fontId="19" fillId="7" borderId="1" xfId="0" applyFont="1" applyFill="1" applyBorder="1" applyAlignment="1">
      <alignment horizontal="centerContinuous" vertical="center"/>
    </xf>
    <xf numFmtId="0" fontId="19" fillId="5" borderId="1" xfId="0" applyFont="1" applyFill="1" applyBorder="1" applyAlignment="1">
      <alignment horizontal="center" vertical="center"/>
    </xf>
    <xf numFmtId="0" fontId="19" fillId="0" borderId="1" xfId="0" applyFont="1" applyBorder="1" applyAlignment="1">
      <alignment horizontal="center" vertical="center" wrapText="1"/>
    </xf>
    <xf numFmtId="0" fontId="19" fillId="7" borderId="13" xfId="0" applyFont="1" applyFill="1" applyBorder="1" applyAlignment="1">
      <alignment horizontal="left" vertical="center" wrapText="1"/>
    </xf>
    <xf numFmtId="0" fontId="19" fillId="3" borderId="3" xfId="0" applyFont="1" applyFill="1" applyBorder="1" applyAlignment="1">
      <alignment horizontal="center" vertical="center" wrapText="1"/>
    </xf>
    <xf numFmtId="0" fontId="19" fillId="3" borderId="1" xfId="0" applyFont="1" applyFill="1" applyBorder="1" applyAlignment="1">
      <alignment horizontal="center" vertical="center"/>
    </xf>
    <xf numFmtId="0" fontId="19" fillId="4" borderId="1" xfId="0" applyFont="1" applyFill="1" applyBorder="1" applyAlignment="1">
      <alignment horizontal="center" vertical="center"/>
    </xf>
    <xf numFmtId="0" fontId="19" fillId="7"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xf>
    <xf numFmtId="0" fontId="19" fillId="2" borderId="13" xfId="0" applyFont="1" applyFill="1" applyBorder="1" applyAlignment="1">
      <alignment horizontal="center" vertical="center"/>
    </xf>
    <xf numFmtId="0" fontId="19" fillId="2" borderId="3" xfId="0" applyFont="1" applyFill="1" applyBorder="1" applyAlignment="1">
      <alignment horizontal="center" vertical="center"/>
    </xf>
  </cellXfs>
  <cellStyles count="3">
    <cellStyle name="常规" xfId="0" builtinId="0"/>
    <cellStyle name="超链接" xfId="1" builtinId="8"/>
    <cellStyle name="好" xfId="2" builtinId="26"/>
  </cellStyles>
  <dxfs count="0"/>
  <tableStyles count="0" defaultTableStyle="TableStyleMedium2" defaultPivotStyle="PivotStyleLight16"/>
  <colors>
    <mruColors>
      <color rgb="FFE8AA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4" dT="2025-06-16T06:57:12.02" personId="{00000000-0000-0000-0000-000000000000}" id="{D089F48C-8489-C647-8ACB-E631E6001C45}">
    <text xml:space="preserve">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ext>
  </threadedComment>
  <threadedComment ref="E22" dT="2025-07-25T08:07:13.93" personId="{00000000-0000-0000-0000-000000000000}" id="{5BD8EF08-D9FE-4D2D-B1EB-40B23588E537}">
    <text>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ext>
  </threadedComment>
  <threadedComment ref="AD25" dT="2025-07-25T08:21:49.57" personId="{00000000-0000-0000-0000-000000000000}" id="{E7EC8DF6-C122-4F88-942B-C01417E0F12C}">
    <text>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diakonie.de/" TargetMode="External"/><Relationship Id="rId13" Type="http://schemas.openxmlformats.org/officeDocument/2006/relationships/hyperlink" Target="https://www.stiftung-mercator.de/" TargetMode="External"/><Relationship Id="rId18" Type="http://schemas.openxmlformats.org/officeDocument/2006/relationships/hyperlink" Target="mailto:info@forus-international.org" TargetMode="External"/><Relationship Id="rId3" Type="http://schemas.openxmlformats.org/officeDocument/2006/relationships/hyperlink" Target="mailto:caritas.international@caritas.de" TargetMode="External"/><Relationship Id="rId21" Type="http://schemas.openxmlformats.org/officeDocument/2006/relationships/vmlDrawing" Target="../drawings/vmlDrawing1.vml"/><Relationship Id="rId7" Type="http://schemas.openxmlformats.org/officeDocument/2006/relationships/hyperlink" Target="mailto:info@diakonie.de" TargetMode="External"/><Relationship Id="rId12" Type="http://schemas.openxmlformats.org/officeDocument/2006/relationships/hyperlink" Target="mailto:info@stiftung-mercator.de" TargetMode="External"/><Relationship Id="rId17" Type="http://schemas.openxmlformats.org/officeDocument/2006/relationships/hyperlink" Target="mailto:info@gbcc.org.uk" TargetMode="External"/><Relationship Id="rId2" Type="http://schemas.openxmlformats.org/officeDocument/2006/relationships/hyperlink" Target="mailto:info@climatenetwork.org" TargetMode="External"/><Relationship Id="rId16" Type="http://schemas.openxmlformats.org/officeDocument/2006/relationships/hyperlink" Target="https://www.gbcc.org.uk/" TargetMode="External"/><Relationship Id="rId20" Type="http://schemas.openxmlformats.org/officeDocument/2006/relationships/printerSettings" Target="../printerSettings/printerSettings1.bin"/><Relationship Id="rId1" Type="http://schemas.openxmlformats.org/officeDocument/2006/relationships/hyperlink" Target="https://climatenetwork.org/" TargetMode="External"/><Relationship Id="rId6" Type="http://schemas.openxmlformats.org/officeDocument/2006/relationships/hyperlink" Target="https://www.cimonline.de/en" TargetMode="External"/><Relationship Id="rId11" Type="http://schemas.openxmlformats.org/officeDocument/2006/relationships/hyperlink" Target="https://www.deutscher-frauenring.de/" TargetMode="External"/><Relationship Id="rId5" Type="http://schemas.openxmlformats.org/officeDocument/2006/relationships/hyperlink" Target="mailto:info@cbm.org" TargetMode="External"/><Relationship Id="rId15" Type="http://schemas.openxmlformats.org/officeDocument/2006/relationships/hyperlink" Target="https://www.gov.uk/government/organisations/department-for-environment-fhttps:/www.gbcc.org.ukood-rural-affairs" TargetMode="External"/><Relationship Id="rId23" Type="http://schemas.microsoft.com/office/2017/10/relationships/threadedComment" Target="../threadedComments/threadedComment1.xml"/><Relationship Id="rId10" Type="http://schemas.openxmlformats.org/officeDocument/2006/relationships/hyperlink" Target="https://www.brot-fuer-die-welt.de/" TargetMode="External"/><Relationship Id="rId19" Type="http://schemas.openxmlformats.org/officeDocument/2006/relationships/hyperlink" Target="https://forus-international.org/" TargetMode="External"/><Relationship Id="rId4" Type="http://schemas.openxmlformats.org/officeDocument/2006/relationships/hyperlink" Target="https://www.caritas-international.de/" TargetMode="External"/><Relationship Id="rId9" Type="http://schemas.openxmlformats.org/officeDocument/2006/relationships/hyperlink" Target="mailto:info@brot-fuer-die-welt.de" TargetMode="External"/><Relationship Id="rId14" Type="http://schemas.openxmlformats.org/officeDocument/2006/relationships/hyperlink" Target="https://business.leeds.ac.uk/centre-innovation-health-management"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971A-ABD8-7343-B20D-B48528A25D6D}">
  <dimension ref="A1:AD319"/>
  <sheetViews>
    <sheetView tabSelected="1" zoomScale="70" zoomScaleNormal="70" workbookViewId="0">
      <pane xSplit="2" ySplit="3" topLeftCell="C128" activePane="bottomRight" state="frozen"/>
      <selection pane="topRight" activeCell="B1" sqref="B1"/>
      <selection pane="bottomLeft" activeCell="A3" sqref="A3"/>
      <selection pane="bottomRight" activeCell="L130" sqref="L130"/>
    </sheetView>
  </sheetViews>
  <sheetFormatPr defaultColWidth="13.875" defaultRowHeight="17.25"/>
  <cols>
    <col min="1" max="1" width="5.25" style="48" bestFit="1" customWidth="1"/>
    <col min="2" max="2" width="27.375" style="48" bestFit="1" customWidth="1"/>
    <col min="3" max="3" width="15.125" style="48" customWidth="1"/>
    <col min="4" max="4" width="19.375" style="48" bestFit="1" customWidth="1"/>
    <col min="5" max="5" width="21" style="48" bestFit="1" customWidth="1"/>
    <col min="6" max="6" width="14" style="48" bestFit="1" customWidth="1"/>
    <col min="7" max="7" width="15.5" style="48" customWidth="1"/>
    <col min="8" max="8" width="16.25" style="48" customWidth="1"/>
    <col min="9" max="9" width="15.5" style="48" customWidth="1"/>
    <col min="10" max="10" width="23.125" style="48" customWidth="1"/>
    <col min="11" max="11" width="61" style="83" customWidth="1"/>
    <col min="12" max="12" width="36.5" style="48" customWidth="1"/>
    <col min="13" max="13" width="22.625" style="48" bestFit="1" customWidth="1"/>
    <col min="14" max="14" width="27.625" style="48" bestFit="1" customWidth="1"/>
    <col min="15" max="15" width="23" style="48" bestFit="1" customWidth="1"/>
    <col min="16" max="16" width="24.125" style="48" bestFit="1" customWidth="1"/>
    <col min="17" max="17" width="25" style="82" bestFit="1" customWidth="1"/>
    <col min="18" max="18" width="22.625" style="82" customWidth="1"/>
    <col min="19" max="19" width="24.125" style="82" bestFit="1" customWidth="1"/>
    <col min="20" max="20" width="18.625" style="48" bestFit="1" customWidth="1"/>
    <col min="21" max="21" width="18.125" style="48" customWidth="1"/>
    <col min="22" max="22" width="19.625" style="48" customWidth="1"/>
    <col min="23" max="23" width="24" style="48" customWidth="1"/>
    <col min="24" max="24" width="17.5" style="84" bestFit="1" customWidth="1"/>
    <col min="25" max="25" width="68.875" style="48" bestFit="1" customWidth="1"/>
    <col min="26" max="26" width="98.875" style="48" customWidth="1"/>
    <col min="27" max="27" width="63" style="48" customWidth="1"/>
    <col min="28" max="28" width="17.375" style="48" hidden="1" customWidth="1"/>
    <col min="29" max="29" width="56.125" style="48" hidden="1" customWidth="1"/>
    <col min="30" max="30" width="41" style="48" customWidth="1"/>
    <col min="31" max="16384" width="13.875" style="48"/>
  </cols>
  <sheetData>
    <row r="1" spans="1:30" ht="18">
      <c r="B1" s="49" t="s">
        <v>2887</v>
      </c>
      <c r="C1" s="94" t="s">
        <v>1528</v>
      </c>
      <c r="D1" s="94"/>
      <c r="E1" s="81"/>
      <c r="G1" s="50"/>
      <c r="H1" s="50"/>
      <c r="I1" s="50"/>
      <c r="J1" s="50"/>
      <c r="K1" s="51"/>
      <c r="L1" s="50"/>
      <c r="M1" s="52"/>
      <c r="N1" s="53"/>
      <c r="O1" s="50"/>
      <c r="P1" s="50"/>
      <c r="Q1" s="50"/>
      <c r="R1" s="50"/>
      <c r="S1" s="50"/>
      <c r="T1" s="50"/>
      <c r="U1" s="50"/>
      <c r="V1" s="50"/>
      <c r="W1" s="50"/>
      <c r="X1" s="54"/>
      <c r="Y1" s="55"/>
      <c r="Z1" s="56"/>
      <c r="AA1" s="56"/>
      <c r="AB1" s="56"/>
      <c r="AC1" s="56"/>
    </row>
    <row r="2" spans="1:30" ht="36">
      <c r="B2" s="57" t="s">
        <v>1529</v>
      </c>
      <c r="C2" s="93" t="s">
        <v>1529</v>
      </c>
      <c r="D2" s="93"/>
      <c r="E2" s="93" t="s">
        <v>1530</v>
      </c>
      <c r="F2" s="86" t="s">
        <v>1531</v>
      </c>
      <c r="G2" s="86"/>
      <c r="H2" s="86"/>
      <c r="I2" s="86" t="s">
        <v>1532</v>
      </c>
      <c r="J2" s="86"/>
      <c r="K2" s="87" t="s">
        <v>1533</v>
      </c>
      <c r="L2" s="88"/>
      <c r="M2" s="89"/>
      <c r="N2" s="60" t="s">
        <v>1534</v>
      </c>
      <c r="O2" s="95" t="s">
        <v>1535</v>
      </c>
      <c r="P2" s="96"/>
      <c r="Q2" s="90" t="s">
        <v>1536</v>
      </c>
      <c r="R2" s="90"/>
      <c r="S2" s="90"/>
      <c r="T2" s="92" t="s">
        <v>1537</v>
      </c>
      <c r="U2" s="92"/>
      <c r="V2" s="92"/>
      <c r="W2" s="92"/>
      <c r="X2" s="92"/>
      <c r="Y2" s="91" t="s">
        <v>5</v>
      </c>
      <c r="Z2" s="91"/>
      <c r="AA2" s="91"/>
      <c r="AB2" s="63"/>
      <c r="AC2" s="63"/>
      <c r="AD2" s="91"/>
    </row>
    <row r="3" spans="1:30" ht="36">
      <c r="B3" s="64" t="s">
        <v>1538</v>
      </c>
      <c r="C3" s="64" t="s">
        <v>1539</v>
      </c>
      <c r="D3" s="64" t="s">
        <v>1540</v>
      </c>
      <c r="E3" s="93"/>
      <c r="F3" s="65" t="s">
        <v>1541</v>
      </c>
      <c r="G3" s="65" t="s">
        <v>1542</v>
      </c>
      <c r="H3" s="65" t="s">
        <v>1543</v>
      </c>
      <c r="I3" s="58" t="s">
        <v>1544</v>
      </c>
      <c r="J3" s="58" t="s">
        <v>1545</v>
      </c>
      <c r="K3" s="59" t="s">
        <v>1546</v>
      </c>
      <c r="L3" s="65" t="s">
        <v>1547</v>
      </c>
      <c r="M3" s="65" t="s">
        <v>1548</v>
      </c>
      <c r="N3" s="61" t="s">
        <v>1549</v>
      </c>
      <c r="O3" s="66" t="s">
        <v>1550</v>
      </c>
      <c r="P3" s="61" t="s">
        <v>1551</v>
      </c>
      <c r="Q3" s="67" t="s">
        <v>1552</v>
      </c>
      <c r="R3" s="67" t="s">
        <v>1553</v>
      </c>
      <c r="S3" s="67" t="s">
        <v>1554</v>
      </c>
      <c r="T3" s="62" t="s">
        <v>1555</v>
      </c>
      <c r="U3" s="62" t="s">
        <v>1556</v>
      </c>
      <c r="V3" s="62" t="s">
        <v>1557</v>
      </c>
      <c r="W3" s="62" t="s">
        <v>1558</v>
      </c>
      <c r="X3" s="68" t="s">
        <v>1559</v>
      </c>
      <c r="Y3" s="69" t="s">
        <v>1560</v>
      </c>
      <c r="Z3" s="69" t="s">
        <v>1561</v>
      </c>
      <c r="AA3" s="69" t="s">
        <v>1562</v>
      </c>
      <c r="AB3" s="63" t="s">
        <v>1563</v>
      </c>
      <c r="AC3" s="63" t="s">
        <v>1564</v>
      </c>
      <c r="AD3" s="63" t="s">
        <v>1565</v>
      </c>
    </row>
    <row r="4" spans="1:30" s="82" customFormat="1" ht="172.5">
      <c r="A4" s="70">
        <f>ROW()-3</f>
        <v>1</v>
      </c>
      <c r="B4" s="71" t="s">
        <v>303</v>
      </c>
      <c r="C4" s="47" t="s">
        <v>304</v>
      </c>
      <c r="D4" s="47" t="s">
        <v>1566</v>
      </c>
      <c r="E4" s="47">
        <v>1959</v>
      </c>
      <c r="F4" s="47" t="s">
        <v>11</v>
      </c>
      <c r="G4" s="47" t="s">
        <v>1295</v>
      </c>
      <c r="H4" s="47" t="s">
        <v>1567</v>
      </c>
      <c r="I4" s="47" t="s">
        <v>630</v>
      </c>
      <c r="J4" s="47" t="s">
        <v>211</v>
      </c>
      <c r="K4" s="72" t="s">
        <v>1568</v>
      </c>
      <c r="L4" s="47" t="s">
        <v>1569</v>
      </c>
      <c r="M4" s="47" t="s">
        <v>1570</v>
      </c>
      <c r="N4" s="47" t="s">
        <v>1571</v>
      </c>
      <c r="O4" s="47" t="s">
        <v>1572</v>
      </c>
      <c r="P4" s="47" t="s">
        <v>1573</v>
      </c>
      <c r="Q4" s="47" t="s">
        <v>1574</v>
      </c>
      <c r="R4" s="47" t="s">
        <v>1575</v>
      </c>
      <c r="S4" s="47" t="s">
        <v>1576</v>
      </c>
      <c r="T4" s="47" t="s">
        <v>1577</v>
      </c>
      <c r="U4" s="47" t="s">
        <v>1577</v>
      </c>
      <c r="V4" s="47" t="s">
        <v>308</v>
      </c>
      <c r="W4" s="47" t="s">
        <v>305</v>
      </c>
      <c r="X4" s="73" t="s">
        <v>307</v>
      </c>
      <c r="Y4" s="74" t="s">
        <v>1578</v>
      </c>
      <c r="Z4" s="74" t="s">
        <v>1579</v>
      </c>
      <c r="AA4" s="47" t="s">
        <v>1580</v>
      </c>
      <c r="AB4" s="47" t="s">
        <v>1581</v>
      </c>
      <c r="AC4" s="74" t="s">
        <v>1582</v>
      </c>
      <c r="AD4" s="47" t="s">
        <v>2308</v>
      </c>
    </row>
    <row r="5" spans="1:30" s="82" customFormat="1" ht="103.5">
      <c r="A5" s="70">
        <f>ROW()-3</f>
        <v>2</v>
      </c>
      <c r="B5" s="71" t="s">
        <v>310</v>
      </c>
      <c r="C5" s="47" t="s">
        <v>309</v>
      </c>
      <c r="D5" s="47" t="s">
        <v>1583</v>
      </c>
      <c r="E5" s="47">
        <v>1975</v>
      </c>
      <c r="F5" s="47" t="s">
        <v>11</v>
      </c>
      <c r="G5" s="47" t="s">
        <v>1295</v>
      </c>
      <c r="H5" s="47" t="s">
        <v>1584</v>
      </c>
      <c r="I5" s="47" t="s">
        <v>630</v>
      </c>
      <c r="J5" s="47" t="s">
        <v>211</v>
      </c>
      <c r="K5" s="72" t="s">
        <v>1585</v>
      </c>
      <c r="L5" s="47" t="s">
        <v>1586</v>
      </c>
      <c r="M5" s="47" t="s">
        <v>1587</v>
      </c>
      <c r="N5" s="47" t="s">
        <v>1571</v>
      </c>
      <c r="O5" s="47" t="s">
        <v>1572</v>
      </c>
      <c r="P5" s="47" t="s">
        <v>1573</v>
      </c>
      <c r="Q5" s="47" t="s">
        <v>1576</v>
      </c>
      <c r="R5" s="47" t="s">
        <v>1574</v>
      </c>
      <c r="S5" s="47" t="s">
        <v>1588</v>
      </c>
      <c r="T5" s="47" t="s">
        <v>311</v>
      </c>
      <c r="U5" s="47" t="s">
        <v>1589</v>
      </c>
      <c r="V5" s="47" t="s">
        <v>312</v>
      </c>
      <c r="W5" s="47" t="s">
        <v>314</v>
      </c>
      <c r="X5" s="73" t="s">
        <v>313</v>
      </c>
      <c r="Y5" s="74" t="s">
        <v>1590</v>
      </c>
      <c r="Z5" s="74" t="s">
        <v>1591</v>
      </c>
      <c r="AA5" s="47" t="s">
        <v>1592</v>
      </c>
      <c r="AB5" s="47"/>
      <c r="AC5" s="74"/>
      <c r="AD5" s="47" t="s">
        <v>2309</v>
      </c>
    </row>
    <row r="6" spans="1:30" s="82" customFormat="1" ht="100.5" customHeight="1">
      <c r="A6" s="70">
        <f t="shared" ref="A6:A69" si="0">ROW()-3</f>
        <v>3</v>
      </c>
      <c r="B6" s="71" t="s">
        <v>315</v>
      </c>
      <c r="C6" s="47" t="s">
        <v>316</v>
      </c>
      <c r="D6" s="47" t="s">
        <v>1593</v>
      </c>
      <c r="E6" s="47" t="s">
        <v>317</v>
      </c>
      <c r="F6" s="47" t="s">
        <v>11</v>
      </c>
      <c r="G6" s="47" t="s">
        <v>1295</v>
      </c>
      <c r="H6" s="47" t="s">
        <v>1594</v>
      </c>
      <c r="I6" s="47" t="s">
        <v>630</v>
      </c>
      <c r="J6" s="47" t="s">
        <v>1595</v>
      </c>
      <c r="K6" s="72" t="s">
        <v>1596</v>
      </c>
      <c r="L6" s="47" t="s">
        <v>1597</v>
      </c>
      <c r="M6" s="47" t="s">
        <v>1598</v>
      </c>
      <c r="N6" s="47" t="s">
        <v>1571</v>
      </c>
      <c r="O6" s="47" t="s">
        <v>1572</v>
      </c>
      <c r="P6" s="47" t="s">
        <v>1599</v>
      </c>
      <c r="Q6" s="47" t="s">
        <v>1576</v>
      </c>
      <c r="R6" s="47" t="s">
        <v>1600</v>
      </c>
      <c r="S6" s="47" t="s">
        <v>1574</v>
      </c>
      <c r="T6" s="47" t="s">
        <v>318</v>
      </c>
      <c r="U6" s="47" t="s">
        <v>319</v>
      </c>
      <c r="V6" s="47" t="s">
        <v>322</v>
      </c>
      <c r="W6" s="47" t="s">
        <v>320</v>
      </c>
      <c r="X6" s="73" t="s">
        <v>321</v>
      </c>
      <c r="Y6" s="74" t="s">
        <v>1601</v>
      </c>
      <c r="Z6" s="74" t="s">
        <v>1602</v>
      </c>
      <c r="AA6" s="47" t="s">
        <v>1603</v>
      </c>
      <c r="AB6" s="47" t="s">
        <v>1604</v>
      </c>
      <c r="AC6" s="74" t="s">
        <v>1605</v>
      </c>
      <c r="AD6" s="47" t="s">
        <v>2310</v>
      </c>
    </row>
    <row r="7" spans="1:30" s="82" customFormat="1" ht="86.25">
      <c r="A7" s="70">
        <f t="shared" si="0"/>
        <v>4</v>
      </c>
      <c r="B7" s="71" t="s">
        <v>0</v>
      </c>
      <c r="C7" s="47" t="s">
        <v>323</v>
      </c>
      <c r="D7" s="47" t="s">
        <v>1606</v>
      </c>
      <c r="E7" s="47">
        <v>1897</v>
      </c>
      <c r="F7" s="47" t="s">
        <v>11</v>
      </c>
      <c r="G7" s="47" t="s">
        <v>1295</v>
      </c>
      <c r="H7" s="47" t="s">
        <v>1607</v>
      </c>
      <c r="I7" s="47" t="s">
        <v>630</v>
      </c>
      <c r="J7" s="47" t="s">
        <v>1608</v>
      </c>
      <c r="K7" s="72" t="s">
        <v>1609</v>
      </c>
      <c r="L7" s="47" t="s">
        <v>1610</v>
      </c>
      <c r="M7" s="47" t="s">
        <v>1611</v>
      </c>
      <c r="N7" s="47" t="s">
        <v>1612</v>
      </c>
      <c r="O7" s="47" t="s">
        <v>1573</v>
      </c>
      <c r="P7" s="47" t="s">
        <v>1613</v>
      </c>
      <c r="Q7" s="47" t="s">
        <v>1614</v>
      </c>
      <c r="R7" s="47" t="s">
        <v>1574</v>
      </c>
      <c r="S7" s="47" t="s">
        <v>1615</v>
      </c>
      <c r="T7" s="47" t="s">
        <v>324</v>
      </c>
      <c r="U7" s="47" t="s">
        <v>325</v>
      </c>
      <c r="V7" s="47" t="s">
        <v>326</v>
      </c>
      <c r="W7" s="47" t="s">
        <v>327</v>
      </c>
      <c r="X7" s="73" t="s">
        <v>328</v>
      </c>
      <c r="Y7" s="74" t="s">
        <v>1616</v>
      </c>
      <c r="Z7" s="74" t="s">
        <v>1617</v>
      </c>
      <c r="AA7" s="47" t="s">
        <v>1618</v>
      </c>
      <c r="AB7" s="47"/>
      <c r="AC7" s="74"/>
      <c r="AD7" s="47" t="s">
        <v>2311</v>
      </c>
    </row>
    <row r="8" spans="1:30" s="82" customFormat="1" ht="86.25">
      <c r="A8" s="70">
        <f t="shared" si="0"/>
        <v>5</v>
      </c>
      <c r="B8" s="71" t="s">
        <v>329</v>
      </c>
      <c r="C8" s="47" t="s">
        <v>330</v>
      </c>
      <c r="D8" s="47" t="s">
        <v>1619</v>
      </c>
      <c r="E8" s="47" t="s">
        <v>1620</v>
      </c>
      <c r="F8" s="47" t="s">
        <v>11</v>
      </c>
      <c r="G8" s="47" t="s">
        <v>1295</v>
      </c>
      <c r="H8" s="47" t="s">
        <v>1621</v>
      </c>
      <c r="I8" s="47" t="s">
        <v>630</v>
      </c>
      <c r="J8" s="47" t="s">
        <v>1622</v>
      </c>
      <c r="K8" s="72" t="s">
        <v>1623</v>
      </c>
      <c r="L8" s="47" t="s">
        <v>1624</v>
      </c>
      <c r="M8" s="47" t="s">
        <v>1625</v>
      </c>
      <c r="N8" s="47" t="s">
        <v>1612</v>
      </c>
      <c r="O8" s="47" t="s">
        <v>1573</v>
      </c>
      <c r="P8" s="47" t="s">
        <v>1572</v>
      </c>
      <c r="Q8" s="47" t="s">
        <v>1588</v>
      </c>
      <c r="R8" s="47" t="s">
        <v>1615</v>
      </c>
      <c r="S8" s="47" t="s">
        <v>1626</v>
      </c>
      <c r="T8" s="47" t="s">
        <v>331</v>
      </c>
      <c r="U8" s="47" t="s">
        <v>332</v>
      </c>
      <c r="V8" s="47" t="s">
        <v>333</v>
      </c>
      <c r="W8" s="47" t="s">
        <v>336</v>
      </c>
      <c r="X8" s="73" t="s">
        <v>334</v>
      </c>
      <c r="Y8" s="74" t="s">
        <v>335</v>
      </c>
      <c r="Z8" s="74" t="s">
        <v>1627</v>
      </c>
      <c r="AA8" s="47" t="s">
        <v>1628</v>
      </c>
      <c r="AB8" s="47"/>
      <c r="AC8" s="74"/>
      <c r="AD8" s="47" t="s">
        <v>2312</v>
      </c>
    </row>
    <row r="9" spans="1:30" s="82" customFormat="1" ht="86.25">
      <c r="A9" s="70">
        <f t="shared" si="0"/>
        <v>6</v>
      </c>
      <c r="B9" s="71" t="s">
        <v>338</v>
      </c>
      <c r="C9" s="47" t="s">
        <v>337</v>
      </c>
      <c r="D9" s="47" t="s">
        <v>1629</v>
      </c>
      <c r="E9" s="47">
        <v>1980</v>
      </c>
      <c r="F9" s="47" t="s">
        <v>11</v>
      </c>
      <c r="G9" s="47" t="s">
        <v>1295</v>
      </c>
      <c r="H9" s="47" t="s">
        <v>1630</v>
      </c>
      <c r="I9" s="47" t="s">
        <v>630</v>
      </c>
      <c r="J9" s="47" t="s">
        <v>1631</v>
      </c>
      <c r="K9" s="72" t="s">
        <v>1632</v>
      </c>
      <c r="L9" s="47" t="s">
        <v>1633</v>
      </c>
      <c r="M9" s="47" t="s">
        <v>1634</v>
      </c>
      <c r="N9" s="47" t="s">
        <v>1635</v>
      </c>
      <c r="O9" s="47" t="s">
        <v>1599</v>
      </c>
      <c r="P9" s="47" t="s">
        <v>1573</v>
      </c>
      <c r="Q9" s="47" t="s">
        <v>1626</v>
      </c>
      <c r="R9" s="47" t="s">
        <v>1574</v>
      </c>
      <c r="S9" s="47" t="s">
        <v>1636</v>
      </c>
      <c r="T9" s="47" t="s">
        <v>339</v>
      </c>
      <c r="U9" s="47" t="s">
        <v>340</v>
      </c>
      <c r="V9" s="47" t="s">
        <v>341</v>
      </c>
      <c r="W9" s="47" t="s">
        <v>342</v>
      </c>
      <c r="X9" s="73" t="s">
        <v>343</v>
      </c>
      <c r="Y9" s="74" t="s">
        <v>1637</v>
      </c>
      <c r="Z9" s="74" t="s">
        <v>1638</v>
      </c>
      <c r="AA9" s="47" t="s">
        <v>1639</v>
      </c>
      <c r="AB9" s="47"/>
      <c r="AC9" s="74"/>
      <c r="AD9" s="47" t="s">
        <v>2313</v>
      </c>
    </row>
    <row r="10" spans="1:30" s="82" customFormat="1" ht="86.25">
      <c r="A10" s="70">
        <f t="shared" si="0"/>
        <v>7</v>
      </c>
      <c r="B10" s="71" t="s">
        <v>4</v>
      </c>
      <c r="C10" s="47" t="s">
        <v>349</v>
      </c>
      <c r="D10" s="47" t="s">
        <v>1640</v>
      </c>
      <c r="E10" s="47" t="s">
        <v>1641</v>
      </c>
      <c r="F10" s="47" t="s">
        <v>11</v>
      </c>
      <c r="G10" s="47" t="s">
        <v>1295</v>
      </c>
      <c r="H10" s="47" t="s">
        <v>1642</v>
      </c>
      <c r="I10" s="47" t="s">
        <v>630</v>
      </c>
      <c r="J10" s="47" t="s">
        <v>1643</v>
      </c>
      <c r="K10" s="72" t="s">
        <v>1644</v>
      </c>
      <c r="L10" s="47" t="s">
        <v>1645</v>
      </c>
      <c r="M10" s="47" t="s">
        <v>1646</v>
      </c>
      <c r="N10" s="47" t="s">
        <v>1612</v>
      </c>
      <c r="O10" s="47" t="s">
        <v>1573</v>
      </c>
      <c r="P10" s="47" t="s">
        <v>1613</v>
      </c>
      <c r="Q10" s="47" t="s">
        <v>1574</v>
      </c>
      <c r="R10" s="47" t="s">
        <v>1614</v>
      </c>
      <c r="S10" s="47" t="s">
        <v>1588</v>
      </c>
      <c r="T10" s="47" t="s">
        <v>344</v>
      </c>
      <c r="U10" s="47" t="s">
        <v>345</v>
      </c>
      <c r="V10" s="47" t="s">
        <v>346</v>
      </c>
      <c r="W10" s="47" t="s">
        <v>347</v>
      </c>
      <c r="X10" s="73" t="s">
        <v>348</v>
      </c>
      <c r="Y10" s="74" t="s">
        <v>1647</v>
      </c>
      <c r="Z10" s="74" t="s">
        <v>1648</v>
      </c>
      <c r="AA10" s="47" t="s">
        <v>1649</v>
      </c>
      <c r="AB10" s="47"/>
      <c r="AC10" s="74"/>
      <c r="AD10" s="47" t="s">
        <v>1650</v>
      </c>
    </row>
    <row r="11" spans="1:30" s="82" customFormat="1" ht="69">
      <c r="A11" s="70">
        <f t="shared" si="0"/>
        <v>8</v>
      </c>
      <c r="B11" s="71" t="s">
        <v>350</v>
      </c>
      <c r="C11" s="47" t="s">
        <v>351</v>
      </c>
      <c r="D11" s="47" t="s">
        <v>1651</v>
      </c>
      <c r="E11" s="47">
        <v>1999</v>
      </c>
      <c r="F11" s="47" t="s">
        <v>11</v>
      </c>
      <c r="G11" s="47" t="s">
        <v>1295</v>
      </c>
      <c r="H11" s="47" t="s">
        <v>1594</v>
      </c>
      <c r="I11" s="47" t="s">
        <v>630</v>
      </c>
      <c r="J11" s="47" t="s">
        <v>1652</v>
      </c>
      <c r="K11" s="72" t="s">
        <v>1653</v>
      </c>
      <c r="L11" s="47" t="s">
        <v>1624</v>
      </c>
      <c r="M11" s="47" t="s">
        <v>1654</v>
      </c>
      <c r="N11" s="47" t="s">
        <v>1612</v>
      </c>
      <c r="O11" s="47" t="s">
        <v>1613</v>
      </c>
      <c r="P11" s="47" t="s">
        <v>1573</v>
      </c>
      <c r="Q11" s="47" t="s">
        <v>1574</v>
      </c>
      <c r="R11" s="47" t="s">
        <v>1615</v>
      </c>
      <c r="S11" s="47" t="s">
        <v>1576</v>
      </c>
      <c r="T11" s="47" t="s">
        <v>1655</v>
      </c>
      <c r="U11" s="47"/>
      <c r="V11" s="75" t="s">
        <v>352</v>
      </c>
      <c r="W11" s="75" t="s">
        <v>353</v>
      </c>
      <c r="X11" s="73" t="s">
        <v>348</v>
      </c>
      <c r="Y11" s="74" t="s">
        <v>1656</v>
      </c>
      <c r="Z11" s="74" t="s">
        <v>1657</v>
      </c>
      <c r="AA11" s="47" t="s">
        <v>1658</v>
      </c>
      <c r="AB11" s="47"/>
      <c r="AC11" s="74"/>
      <c r="AD11" s="47" t="s">
        <v>1659</v>
      </c>
    </row>
    <row r="12" spans="1:30" s="82" customFormat="1" ht="86.25">
      <c r="A12" s="70">
        <f t="shared" si="0"/>
        <v>9</v>
      </c>
      <c r="B12" s="71" t="s">
        <v>354</v>
      </c>
      <c r="C12" s="47" t="s">
        <v>355</v>
      </c>
      <c r="D12" s="47" t="s">
        <v>1660</v>
      </c>
      <c r="E12" s="47">
        <v>1962</v>
      </c>
      <c r="F12" s="47" t="s">
        <v>11</v>
      </c>
      <c r="G12" s="47" t="s">
        <v>1295</v>
      </c>
      <c r="H12" s="47" t="s">
        <v>1594</v>
      </c>
      <c r="I12" s="47" t="s">
        <v>630</v>
      </c>
      <c r="J12" s="47" t="s">
        <v>1661</v>
      </c>
      <c r="K12" s="72" t="s">
        <v>1662</v>
      </c>
      <c r="L12" s="47" t="s">
        <v>1663</v>
      </c>
      <c r="M12" s="47" t="s">
        <v>1664</v>
      </c>
      <c r="N12" s="47" t="s">
        <v>1612</v>
      </c>
      <c r="O12" s="47" t="s">
        <v>1613</v>
      </c>
      <c r="P12" s="47"/>
      <c r="Q12" s="47" t="s">
        <v>1574</v>
      </c>
      <c r="R12" s="47" t="s">
        <v>1626</v>
      </c>
      <c r="S12" s="47" t="s">
        <v>1615</v>
      </c>
      <c r="T12" s="47"/>
      <c r="U12" s="47"/>
      <c r="V12" s="75"/>
      <c r="W12" s="75"/>
      <c r="X12" s="73"/>
      <c r="Y12" s="74"/>
      <c r="Z12" s="74" t="s">
        <v>1665</v>
      </c>
      <c r="AA12" s="47"/>
      <c r="AB12" s="47"/>
      <c r="AC12" s="74"/>
      <c r="AD12" s="47" t="s">
        <v>1666</v>
      </c>
    </row>
    <row r="13" spans="1:30" s="82" customFormat="1" ht="86.25">
      <c r="A13" s="70">
        <f t="shared" si="0"/>
        <v>10</v>
      </c>
      <c r="B13" s="71" t="s">
        <v>356</v>
      </c>
      <c r="C13" s="47" t="s">
        <v>357</v>
      </c>
      <c r="D13" s="47" t="s">
        <v>1667</v>
      </c>
      <c r="E13" s="47">
        <v>1961</v>
      </c>
      <c r="F13" s="47" t="s">
        <v>11</v>
      </c>
      <c r="G13" s="47" t="s">
        <v>1295</v>
      </c>
      <c r="H13" s="47" t="s">
        <v>1668</v>
      </c>
      <c r="I13" s="47" t="s">
        <v>630</v>
      </c>
      <c r="J13" s="47" t="s">
        <v>1669</v>
      </c>
      <c r="K13" s="72" t="s">
        <v>1670</v>
      </c>
      <c r="L13" s="47" t="s">
        <v>1671</v>
      </c>
      <c r="M13" s="47" t="s">
        <v>1672</v>
      </c>
      <c r="N13" s="47" t="s">
        <v>1635</v>
      </c>
      <c r="O13" s="47" t="s">
        <v>1613</v>
      </c>
      <c r="P13" s="47" t="s">
        <v>1673</v>
      </c>
      <c r="Q13" s="47" t="s">
        <v>1600</v>
      </c>
      <c r="R13" s="47" t="s">
        <v>1576</v>
      </c>
      <c r="S13" s="47" t="s">
        <v>1626</v>
      </c>
      <c r="T13" s="47" t="s">
        <v>358</v>
      </c>
      <c r="U13" s="47" t="s">
        <v>1674</v>
      </c>
      <c r="V13" s="47" t="s">
        <v>359</v>
      </c>
      <c r="W13" s="47" t="s">
        <v>360</v>
      </c>
      <c r="X13" s="73" t="s">
        <v>361</v>
      </c>
      <c r="Y13" s="74" t="s">
        <v>1675</v>
      </c>
      <c r="Z13" s="74" t="s">
        <v>1676</v>
      </c>
      <c r="AA13" s="47" t="s">
        <v>1677</v>
      </c>
      <c r="AB13" s="47"/>
      <c r="AC13" s="74"/>
      <c r="AD13" s="47" t="s">
        <v>1678</v>
      </c>
    </row>
    <row r="14" spans="1:30" s="82" customFormat="1" ht="103.5">
      <c r="A14" s="70">
        <f t="shared" si="0"/>
        <v>11</v>
      </c>
      <c r="B14" s="71" t="s">
        <v>362</v>
      </c>
      <c r="C14" s="47" t="s">
        <v>1679</v>
      </c>
      <c r="D14" s="47" t="s">
        <v>1680</v>
      </c>
      <c r="E14" s="47">
        <v>1986</v>
      </c>
      <c r="F14" s="47" t="s">
        <v>11</v>
      </c>
      <c r="G14" s="47" t="s">
        <v>1295</v>
      </c>
      <c r="H14" s="47" t="s">
        <v>1594</v>
      </c>
      <c r="I14" s="47" t="s">
        <v>630</v>
      </c>
      <c r="J14" s="47" t="s">
        <v>1681</v>
      </c>
      <c r="K14" s="72" t="s">
        <v>1682</v>
      </c>
      <c r="L14" s="47" t="s">
        <v>1683</v>
      </c>
      <c r="M14" s="47" t="s">
        <v>1684</v>
      </c>
      <c r="N14" s="47" t="s">
        <v>1635</v>
      </c>
      <c r="O14" s="47" t="s">
        <v>1613</v>
      </c>
      <c r="P14" s="47" t="s">
        <v>1685</v>
      </c>
      <c r="Q14" s="47"/>
      <c r="R14" s="47" t="s">
        <v>1600</v>
      </c>
      <c r="S14" s="47" t="s">
        <v>1636</v>
      </c>
      <c r="T14" s="47" t="s">
        <v>363</v>
      </c>
      <c r="U14" s="47" t="s">
        <v>1686</v>
      </c>
      <c r="V14" s="47" t="s">
        <v>364</v>
      </c>
      <c r="W14" s="47" t="s">
        <v>365</v>
      </c>
      <c r="X14" s="73" t="s">
        <v>366</v>
      </c>
      <c r="Y14" s="74" t="s">
        <v>1687</v>
      </c>
      <c r="Z14" s="74" t="s">
        <v>1688</v>
      </c>
      <c r="AA14" s="47" t="s">
        <v>1689</v>
      </c>
      <c r="AB14" s="47"/>
      <c r="AC14" s="74"/>
      <c r="AD14" s="47" t="s">
        <v>1690</v>
      </c>
    </row>
    <row r="15" spans="1:30" s="82" customFormat="1" ht="86.25">
      <c r="A15" s="70">
        <f t="shared" si="0"/>
        <v>12</v>
      </c>
      <c r="B15" s="71" t="s">
        <v>367</v>
      </c>
      <c r="C15" s="47" t="s">
        <v>368</v>
      </c>
      <c r="D15" s="47" t="s">
        <v>1691</v>
      </c>
      <c r="E15" s="47">
        <v>2007</v>
      </c>
      <c r="F15" s="47" t="s">
        <v>11</v>
      </c>
      <c r="G15" s="47" t="s">
        <v>1295</v>
      </c>
      <c r="H15" s="47" t="s">
        <v>1584</v>
      </c>
      <c r="I15" s="47" t="s">
        <v>630</v>
      </c>
      <c r="J15" s="47" t="s">
        <v>1692</v>
      </c>
      <c r="K15" s="72" t="s">
        <v>1693</v>
      </c>
      <c r="L15" s="47" t="s">
        <v>1694</v>
      </c>
      <c r="M15" s="47" t="s">
        <v>1695</v>
      </c>
      <c r="N15" s="47" t="s">
        <v>1571</v>
      </c>
      <c r="O15" s="47" t="s">
        <v>1572</v>
      </c>
      <c r="P15" s="47" t="s">
        <v>1599</v>
      </c>
      <c r="Q15" s="47" t="s">
        <v>1615</v>
      </c>
      <c r="R15" s="47" t="s">
        <v>1576</v>
      </c>
      <c r="S15" s="47" t="s">
        <v>1600</v>
      </c>
      <c r="T15" s="47" t="s">
        <v>369</v>
      </c>
      <c r="U15" s="47" t="s">
        <v>1696</v>
      </c>
      <c r="V15" s="47" t="s">
        <v>370</v>
      </c>
      <c r="W15" s="47" t="s">
        <v>371</v>
      </c>
      <c r="X15" s="73" t="s">
        <v>372</v>
      </c>
      <c r="Y15" s="74" t="s">
        <v>1697</v>
      </c>
      <c r="Z15" s="74" t="s">
        <v>1698</v>
      </c>
      <c r="AA15" s="47" t="s">
        <v>1699</v>
      </c>
      <c r="AB15" s="47"/>
      <c r="AC15" s="74"/>
      <c r="AD15" s="47" t="s">
        <v>1700</v>
      </c>
    </row>
    <row r="16" spans="1:30" s="82" customFormat="1" ht="86.25">
      <c r="A16" s="70">
        <f t="shared" si="0"/>
        <v>13</v>
      </c>
      <c r="B16" s="71" t="s">
        <v>384</v>
      </c>
      <c r="C16" s="47" t="s">
        <v>373</v>
      </c>
      <c r="D16" s="47" t="s">
        <v>1701</v>
      </c>
      <c r="E16" s="47">
        <v>1991</v>
      </c>
      <c r="F16" s="47" t="s">
        <v>11</v>
      </c>
      <c r="G16" s="47" t="s">
        <v>1295</v>
      </c>
      <c r="H16" s="47" t="s">
        <v>1594</v>
      </c>
      <c r="I16" s="47" t="s">
        <v>630</v>
      </c>
      <c r="J16" s="47" t="s">
        <v>1702</v>
      </c>
      <c r="K16" s="72" t="s">
        <v>1703</v>
      </c>
      <c r="L16" s="47" t="s">
        <v>1704</v>
      </c>
      <c r="M16" s="47" t="s">
        <v>1705</v>
      </c>
      <c r="N16" s="47" t="s">
        <v>1571</v>
      </c>
      <c r="O16" s="47" t="s">
        <v>1599</v>
      </c>
      <c r="P16" s="47" t="s">
        <v>1572</v>
      </c>
      <c r="Q16" s="47" t="s">
        <v>1576</v>
      </c>
      <c r="R16" s="47" t="s">
        <v>1600</v>
      </c>
      <c r="S16" s="47" t="s">
        <v>1575</v>
      </c>
      <c r="T16" s="47" t="s">
        <v>374</v>
      </c>
      <c r="U16" s="47" t="s">
        <v>375</v>
      </c>
      <c r="V16" s="47" t="s">
        <v>376</v>
      </c>
      <c r="W16" s="47" t="s">
        <v>377</v>
      </c>
      <c r="X16" s="73" t="s">
        <v>378</v>
      </c>
      <c r="Y16" s="74" t="s">
        <v>1706</v>
      </c>
      <c r="Z16" s="74" t="s">
        <v>1707</v>
      </c>
      <c r="AA16" s="47" t="s">
        <v>1708</v>
      </c>
      <c r="AB16" s="47"/>
      <c r="AC16" s="74"/>
      <c r="AD16" s="47" t="s">
        <v>1709</v>
      </c>
    </row>
    <row r="17" spans="1:30" s="82" customFormat="1" ht="86.25">
      <c r="A17" s="70">
        <f t="shared" si="0"/>
        <v>14</v>
      </c>
      <c r="B17" s="71" t="s">
        <v>385</v>
      </c>
      <c r="C17" s="47" t="s">
        <v>1710</v>
      </c>
      <c r="D17" s="47" t="s">
        <v>1711</v>
      </c>
      <c r="E17" s="47">
        <v>1949</v>
      </c>
      <c r="F17" s="47" t="s">
        <v>11</v>
      </c>
      <c r="G17" s="47" t="s">
        <v>1295</v>
      </c>
      <c r="H17" s="47" t="s">
        <v>1584</v>
      </c>
      <c r="I17" s="47" t="s">
        <v>630</v>
      </c>
      <c r="J17" s="47" t="s">
        <v>1712</v>
      </c>
      <c r="K17" s="72" t="s">
        <v>1713</v>
      </c>
      <c r="L17" s="47" t="s">
        <v>1714</v>
      </c>
      <c r="M17" s="47" t="s">
        <v>1715</v>
      </c>
      <c r="N17" s="47" t="s">
        <v>1571</v>
      </c>
      <c r="O17" s="47" t="s">
        <v>1572</v>
      </c>
      <c r="P17" s="47" t="s">
        <v>1599</v>
      </c>
      <c r="Q17" s="47" t="s">
        <v>1615</v>
      </c>
      <c r="R17" s="47" t="s">
        <v>1626</v>
      </c>
      <c r="S17" s="47" t="s">
        <v>1600</v>
      </c>
      <c r="T17" s="47" t="s">
        <v>379</v>
      </c>
      <c r="U17" s="47" t="s">
        <v>380</v>
      </c>
      <c r="V17" s="47" t="s">
        <v>381</v>
      </c>
      <c r="W17" s="75" t="s">
        <v>383</v>
      </c>
      <c r="X17" s="73" t="s">
        <v>382</v>
      </c>
      <c r="Y17" s="74" t="s">
        <v>1716</v>
      </c>
      <c r="Z17" s="74" t="s">
        <v>1717</v>
      </c>
      <c r="AA17" s="47"/>
      <c r="AB17" s="47"/>
      <c r="AC17" s="74"/>
      <c r="AD17" s="47" t="s">
        <v>1718</v>
      </c>
    </row>
    <row r="18" spans="1:30" s="82" customFormat="1" ht="69">
      <c r="A18" s="70">
        <f t="shared" si="0"/>
        <v>15</v>
      </c>
      <c r="B18" s="71" t="s">
        <v>386</v>
      </c>
      <c r="C18" s="47" t="s">
        <v>387</v>
      </c>
      <c r="D18" s="47" t="s">
        <v>1719</v>
      </c>
      <c r="E18" s="47">
        <v>1962</v>
      </c>
      <c r="F18" s="47" t="s">
        <v>11</v>
      </c>
      <c r="G18" s="47" t="s">
        <v>1295</v>
      </c>
      <c r="H18" s="47" t="s">
        <v>1594</v>
      </c>
      <c r="I18" s="47" t="s">
        <v>630</v>
      </c>
      <c r="J18" s="47" t="s">
        <v>1720</v>
      </c>
      <c r="K18" s="72" t="s">
        <v>1721</v>
      </c>
      <c r="L18" s="47" t="s">
        <v>1722</v>
      </c>
      <c r="M18" s="47" t="s">
        <v>1723</v>
      </c>
      <c r="N18" s="47" t="s">
        <v>1571</v>
      </c>
      <c r="O18" s="47" t="s">
        <v>1573</v>
      </c>
      <c r="P18" s="47" t="s">
        <v>1613</v>
      </c>
      <c r="Q18" s="47" t="s">
        <v>1575</v>
      </c>
      <c r="R18" s="47" t="s">
        <v>1574</v>
      </c>
      <c r="S18" s="47" t="s">
        <v>1614</v>
      </c>
      <c r="T18" s="47" t="s">
        <v>388</v>
      </c>
      <c r="U18" s="47" t="s">
        <v>389</v>
      </c>
      <c r="V18" s="47" t="s">
        <v>390</v>
      </c>
      <c r="W18" s="47" t="s">
        <v>391</v>
      </c>
      <c r="X18" s="73" t="s">
        <v>392</v>
      </c>
      <c r="Y18" s="74" t="s">
        <v>1724</v>
      </c>
      <c r="Z18" s="74" t="s">
        <v>1725</v>
      </c>
      <c r="AA18" s="47"/>
      <c r="AB18" s="47"/>
      <c r="AC18" s="74"/>
      <c r="AD18" s="47" t="s">
        <v>1726</v>
      </c>
    </row>
    <row r="19" spans="1:30" s="82" customFormat="1" ht="86.25">
      <c r="A19" s="70">
        <f t="shared" si="0"/>
        <v>16</v>
      </c>
      <c r="B19" s="71" t="s">
        <v>393</v>
      </c>
      <c r="C19" s="47" t="s">
        <v>394</v>
      </c>
      <c r="D19" s="47" t="s">
        <v>1727</v>
      </c>
      <c r="E19" s="47">
        <v>1990</v>
      </c>
      <c r="F19" s="47" t="s">
        <v>11</v>
      </c>
      <c r="G19" s="47" t="s">
        <v>1295</v>
      </c>
      <c r="H19" s="47" t="s">
        <v>1584</v>
      </c>
      <c r="I19" s="47" t="s">
        <v>630</v>
      </c>
      <c r="J19" s="47" t="s">
        <v>1728</v>
      </c>
      <c r="K19" s="72" t="s">
        <v>1729</v>
      </c>
      <c r="L19" s="47" t="s">
        <v>1730</v>
      </c>
      <c r="M19" s="47" t="s">
        <v>1731</v>
      </c>
      <c r="N19" s="47" t="s">
        <v>1571</v>
      </c>
      <c r="O19" s="47" t="s">
        <v>1572</v>
      </c>
      <c r="P19" s="47" t="s">
        <v>1573</v>
      </c>
      <c r="Q19" s="47" t="s">
        <v>1576</v>
      </c>
      <c r="R19" s="47" t="s">
        <v>1575</v>
      </c>
      <c r="S19" s="47" t="s">
        <v>1574</v>
      </c>
      <c r="T19" s="47" t="s">
        <v>395</v>
      </c>
      <c r="U19" s="47" t="s">
        <v>396</v>
      </c>
      <c r="V19" s="47" t="s">
        <v>397</v>
      </c>
      <c r="W19" s="47" t="s">
        <v>398</v>
      </c>
      <c r="X19" s="73" t="s">
        <v>399</v>
      </c>
      <c r="Y19" s="74" t="s">
        <v>1732</v>
      </c>
      <c r="Z19" s="74" t="s">
        <v>1733</v>
      </c>
      <c r="AA19" s="47"/>
      <c r="AB19" s="47"/>
      <c r="AC19" s="74"/>
      <c r="AD19" s="47" t="s">
        <v>1734</v>
      </c>
    </row>
    <row r="20" spans="1:30" s="82" customFormat="1" ht="86.25">
      <c r="A20" s="70">
        <f t="shared" si="0"/>
        <v>17</v>
      </c>
      <c r="B20" s="71" t="s">
        <v>400</v>
      </c>
      <c r="C20" s="47" t="s">
        <v>401</v>
      </c>
      <c r="D20" s="47" t="s">
        <v>1735</v>
      </c>
      <c r="E20" s="47" t="s">
        <v>1736</v>
      </c>
      <c r="F20" s="47" t="s">
        <v>11</v>
      </c>
      <c r="G20" s="47" t="s">
        <v>1295</v>
      </c>
      <c r="H20" s="47" t="s">
        <v>1737</v>
      </c>
      <c r="I20" s="47" t="s">
        <v>842</v>
      </c>
      <c r="J20" s="47" t="s">
        <v>1738</v>
      </c>
      <c r="K20" s="72" t="s">
        <v>1739</v>
      </c>
      <c r="L20" s="47" t="s">
        <v>1740</v>
      </c>
      <c r="M20" s="47" t="s">
        <v>1741</v>
      </c>
      <c r="N20" s="47" t="s">
        <v>1635</v>
      </c>
      <c r="O20" s="47" t="s">
        <v>1573</v>
      </c>
      <c r="P20" s="47" t="s">
        <v>1599</v>
      </c>
      <c r="Q20" s="47" t="s">
        <v>1626</v>
      </c>
      <c r="R20" s="47" t="s">
        <v>1576</v>
      </c>
      <c r="S20" s="47" t="s">
        <v>1636</v>
      </c>
      <c r="T20" s="76" t="s">
        <v>404</v>
      </c>
      <c r="U20" s="47" t="s">
        <v>1742</v>
      </c>
      <c r="V20" s="47" t="s">
        <v>402</v>
      </c>
      <c r="W20" s="47" t="s">
        <v>403</v>
      </c>
      <c r="X20" s="73" t="s">
        <v>405</v>
      </c>
      <c r="Y20" s="74" t="s">
        <v>1743</v>
      </c>
      <c r="Z20" s="74" t="s">
        <v>1744</v>
      </c>
      <c r="AA20" s="47" t="s">
        <v>1745</v>
      </c>
      <c r="AB20" s="47"/>
      <c r="AC20" s="74"/>
      <c r="AD20" s="47" t="s">
        <v>1746</v>
      </c>
    </row>
    <row r="21" spans="1:30" s="82" customFormat="1" ht="86.25">
      <c r="A21" s="70">
        <f t="shared" si="0"/>
        <v>18</v>
      </c>
      <c r="B21" s="71" t="s">
        <v>406</v>
      </c>
      <c r="C21" s="47" t="s">
        <v>407</v>
      </c>
      <c r="D21" s="47" t="s">
        <v>1747</v>
      </c>
      <c r="E21" s="47">
        <v>1997</v>
      </c>
      <c r="F21" s="47" t="s">
        <v>11</v>
      </c>
      <c r="G21" s="47" t="s">
        <v>1748</v>
      </c>
      <c r="H21" s="47" t="s">
        <v>1584</v>
      </c>
      <c r="I21" s="47" t="s">
        <v>630</v>
      </c>
      <c r="J21" s="47" t="s">
        <v>1749</v>
      </c>
      <c r="K21" s="72" t="s">
        <v>1750</v>
      </c>
      <c r="L21" s="47" t="s">
        <v>1751</v>
      </c>
      <c r="M21" s="47" t="s">
        <v>1752</v>
      </c>
      <c r="N21" s="47" t="s">
        <v>1753</v>
      </c>
      <c r="O21" s="47" t="s">
        <v>1613</v>
      </c>
      <c r="P21" s="47" t="s">
        <v>1599</v>
      </c>
      <c r="Q21" s="47" t="s">
        <v>1576</v>
      </c>
      <c r="R21" s="47" t="s">
        <v>1615</v>
      </c>
      <c r="S21" s="47" t="s">
        <v>1600</v>
      </c>
      <c r="T21" s="47" t="s">
        <v>408</v>
      </c>
      <c r="U21" s="47" t="s">
        <v>380</v>
      </c>
      <c r="V21" s="47" t="s">
        <v>409</v>
      </c>
      <c r="W21" s="47" t="s">
        <v>410</v>
      </c>
      <c r="X21" s="73" t="s">
        <v>411</v>
      </c>
      <c r="Y21" s="74" t="s">
        <v>1754</v>
      </c>
      <c r="Z21" s="74" t="s">
        <v>1755</v>
      </c>
      <c r="AA21" s="47"/>
      <c r="AB21" s="47"/>
      <c r="AC21" s="74"/>
      <c r="AD21" s="47" t="s">
        <v>1756</v>
      </c>
    </row>
    <row r="22" spans="1:30" s="82" customFormat="1" ht="69">
      <c r="A22" s="70">
        <f t="shared" si="0"/>
        <v>19</v>
      </c>
      <c r="B22" s="71" t="s">
        <v>412</v>
      </c>
      <c r="C22" s="47" t="s">
        <v>413</v>
      </c>
      <c r="D22" s="47" t="s">
        <v>1757</v>
      </c>
      <c r="E22" s="47" t="s">
        <v>1758</v>
      </c>
      <c r="F22" s="47" t="s">
        <v>11</v>
      </c>
      <c r="G22" s="47" t="s">
        <v>1295</v>
      </c>
      <c r="H22" s="47" t="s">
        <v>1594</v>
      </c>
      <c r="I22" s="47" t="s">
        <v>630</v>
      </c>
      <c r="J22" s="47" t="s">
        <v>1759</v>
      </c>
      <c r="K22" s="72" t="s">
        <v>1760</v>
      </c>
      <c r="L22" s="47" t="s">
        <v>1761</v>
      </c>
      <c r="M22" s="47" t="s">
        <v>1762</v>
      </c>
      <c r="N22" s="47" t="s">
        <v>1635</v>
      </c>
      <c r="O22" s="47" t="s">
        <v>1599</v>
      </c>
      <c r="P22" s="47" t="s">
        <v>1573</v>
      </c>
      <c r="Q22" s="47" t="s">
        <v>1626</v>
      </c>
      <c r="R22" s="47" t="s">
        <v>1600</v>
      </c>
      <c r="S22" s="47" t="s">
        <v>1636</v>
      </c>
      <c r="T22" s="47"/>
      <c r="U22" s="47"/>
      <c r="V22" s="47"/>
      <c r="W22" s="47" t="s">
        <v>1763</v>
      </c>
      <c r="X22" s="73"/>
      <c r="Y22" s="74" t="s">
        <v>1764</v>
      </c>
      <c r="Z22" s="74" t="s">
        <v>1765</v>
      </c>
      <c r="AA22" s="47"/>
      <c r="AB22" s="47"/>
      <c r="AC22" s="74"/>
      <c r="AD22" s="47" t="s">
        <v>1766</v>
      </c>
    </row>
    <row r="23" spans="1:30" s="82" customFormat="1" ht="86.25">
      <c r="A23" s="70">
        <f t="shared" si="0"/>
        <v>20</v>
      </c>
      <c r="B23" s="71" t="s">
        <v>414</v>
      </c>
      <c r="C23" s="47" t="s">
        <v>415</v>
      </c>
      <c r="D23" s="47" t="s">
        <v>1767</v>
      </c>
      <c r="E23" s="47">
        <v>1955</v>
      </c>
      <c r="F23" s="47" t="s">
        <v>11</v>
      </c>
      <c r="G23" s="47" t="s">
        <v>1295</v>
      </c>
      <c r="H23" s="47" t="s">
        <v>1594</v>
      </c>
      <c r="I23" s="47" t="s">
        <v>842</v>
      </c>
      <c r="J23" s="47" t="s">
        <v>1768</v>
      </c>
      <c r="K23" s="72" t="s">
        <v>1769</v>
      </c>
      <c r="L23" s="47" t="s">
        <v>1770</v>
      </c>
      <c r="M23" s="47" t="s">
        <v>1771</v>
      </c>
      <c r="N23" s="47" t="s">
        <v>1753</v>
      </c>
      <c r="O23" s="47" t="s">
        <v>1613</v>
      </c>
      <c r="P23" s="47" t="s">
        <v>1599</v>
      </c>
      <c r="Q23" s="47" t="s">
        <v>1626</v>
      </c>
      <c r="R23" s="47" t="s">
        <v>1600</v>
      </c>
      <c r="S23" s="47" t="s">
        <v>1772</v>
      </c>
      <c r="T23" s="47" t="s">
        <v>416</v>
      </c>
      <c r="U23" s="47" t="s">
        <v>1773</v>
      </c>
      <c r="V23" s="47" t="s">
        <v>417</v>
      </c>
      <c r="W23" s="47" t="s">
        <v>418</v>
      </c>
      <c r="X23" s="73" t="s">
        <v>419</v>
      </c>
      <c r="Y23" s="74" t="s">
        <v>1774</v>
      </c>
      <c r="Z23" s="74" t="s">
        <v>1775</v>
      </c>
      <c r="AA23" s="47" t="s">
        <v>1776</v>
      </c>
      <c r="AB23" s="47"/>
      <c r="AC23" s="74"/>
      <c r="AD23" s="47" t="s">
        <v>1777</v>
      </c>
    </row>
    <row r="24" spans="1:30" s="82" customFormat="1" ht="86.25">
      <c r="A24" s="70">
        <f t="shared" si="0"/>
        <v>21</v>
      </c>
      <c r="B24" s="71" t="s">
        <v>420</v>
      </c>
      <c r="C24" s="47"/>
      <c r="D24" s="47" t="s">
        <v>1778</v>
      </c>
      <c r="E24" s="47">
        <v>1985</v>
      </c>
      <c r="F24" s="47" t="s">
        <v>11</v>
      </c>
      <c r="G24" s="47" t="s">
        <v>1295</v>
      </c>
      <c r="H24" s="47" t="s">
        <v>1779</v>
      </c>
      <c r="I24" s="47" t="s">
        <v>630</v>
      </c>
      <c r="J24" s="47" t="s">
        <v>1780</v>
      </c>
      <c r="K24" s="72" t="s">
        <v>1781</v>
      </c>
      <c r="L24" s="47" t="s">
        <v>1782</v>
      </c>
      <c r="M24" s="47" t="s">
        <v>1783</v>
      </c>
      <c r="N24" s="47" t="s">
        <v>1612</v>
      </c>
      <c r="O24" s="47" t="s">
        <v>1613</v>
      </c>
      <c r="P24" s="47" t="s">
        <v>1572</v>
      </c>
      <c r="Q24" s="47" t="s">
        <v>1574</v>
      </c>
      <c r="R24" s="47" t="s">
        <v>1576</v>
      </c>
      <c r="S24" s="47" t="s">
        <v>1575</v>
      </c>
      <c r="T24" s="47" t="s">
        <v>421</v>
      </c>
      <c r="U24" s="47" t="s">
        <v>1784</v>
      </c>
      <c r="V24" s="47" t="s">
        <v>422</v>
      </c>
      <c r="W24" s="47" t="s">
        <v>423</v>
      </c>
      <c r="X24" s="73" t="s">
        <v>424</v>
      </c>
      <c r="Y24" s="74" t="s">
        <v>1785</v>
      </c>
      <c r="Z24" s="74" t="s">
        <v>1786</v>
      </c>
      <c r="AA24" s="47"/>
      <c r="AB24" s="47"/>
      <c r="AC24" s="74"/>
      <c r="AD24" s="47" t="s">
        <v>1787</v>
      </c>
    </row>
    <row r="25" spans="1:30" s="82" customFormat="1" ht="86.25">
      <c r="A25" s="70">
        <f t="shared" si="0"/>
        <v>22</v>
      </c>
      <c r="B25" s="71" t="s">
        <v>425</v>
      </c>
      <c r="C25" s="47"/>
      <c r="D25" s="47" t="s">
        <v>1788</v>
      </c>
      <c r="E25" s="47">
        <v>1951</v>
      </c>
      <c r="F25" s="47" t="s">
        <v>11</v>
      </c>
      <c r="G25" s="47" t="s">
        <v>1748</v>
      </c>
      <c r="H25" s="47" t="s">
        <v>1584</v>
      </c>
      <c r="I25" s="47" t="s">
        <v>630</v>
      </c>
      <c r="J25" s="47" t="s">
        <v>211</v>
      </c>
      <c r="K25" s="72" t="s">
        <v>1789</v>
      </c>
      <c r="L25" s="47" t="s">
        <v>1790</v>
      </c>
      <c r="M25" s="47" t="s">
        <v>1791</v>
      </c>
      <c r="N25" s="47" t="s">
        <v>1571</v>
      </c>
      <c r="O25" s="47" t="s">
        <v>1572</v>
      </c>
      <c r="P25" s="47" t="s">
        <v>1599</v>
      </c>
      <c r="Q25" s="47" t="s">
        <v>1615</v>
      </c>
      <c r="R25" s="47" t="s">
        <v>1626</v>
      </c>
      <c r="S25" s="47" t="s">
        <v>1600</v>
      </c>
      <c r="T25" s="47" t="s">
        <v>426</v>
      </c>
      <c r="U25" s="47" t="s">
        <v>1792</v>
      </c>
      <c r="V25" s="47" t="s">
        <v>427</v>
      </c>
      <c r="W25" s="47" t="s">
        <v>428</v>
      </c>
      <c r="X25" s="73" t="s">
        <v>429</v>
      </c>
      <c r="Y25" s="74" t="s">
        <v>1793</v>
      </c>
      <c r="Z25" s="74" t="s">
        <v>1794</v>
      </c>
      <c r="AA25" s="47"/>
      <c r="AB25" s="47"/>
      <c r="AC25" s="74"/>
      <c r="AD25" s="47" t="s">
        <v>1795</v>
      </c>
    </row>
    <row r="26" spans="1:30" s="82" customFormat="1" ht="86.25">
      <c r="A26" s="70">
        <f t="shared" si="0"/>
        <v>23</v>
      </c>
      <c r="B26" s="71" t="s">
        <v>430</v>
      </c>
      <c r="C26" s="47" t="s">
        <v>431</v>
      </c>
      <c r="D26" s="47" t="s">
        <v>1796</v>
      </c>
      <c r="E26" s="47">
        <v>2002</v>
      </c>
      <c r="F26" s="47" t="s">
        <v>11</v>
      </c>
      <c r="G26" s="47" t="s">
        <v>1748</v>
      </c>
      <c r="H26" s="47" t="s">
        <v>1584</v>
      </c>
      <c r="I26" s="47" t="s">
        <v>630</v>
      </c>
      <c r="J26" s="47" t="s">
        <v>211</v>
      </c>
      <c r="K26" s="72" t="s">
        <v>1797</v>
      </c>
      <c r="L26" s="47" t="s">
        <v>1798</v>
      </c>
      <c r="M26" s="47" t="s">
        <v>1799</v>
      </c>
      <c r="N26" s="47" t="s">
        <v>1571</v>
      </c>
      <c r="O26" s="47" t="s">
        <v>1572</v>
      </c>
      <c r="P26" s="47"/>
      <c r="Q26" s="47" t="s">
        <v>1626</v>
      </c>
      <c r="R26" s="47" t="s">
        <v>1574</v>
      </c>
      <c r="S26" s="47" t="s">
        <v>1600</v>
      </c>
      <c r="T26" s="47" t="s">
        <v>432</v>
      </c>
      <c r="U26" s="47" t="s">
        <v>1800</v>
      </c>
      <c r="V26" s="47" t="s">
        <v>433</v>
      </c>
      <c r="W26" s="47" t="s">
        <v>434</v>
      </c>
      <c r="X26" s="73" t="s">
        <v>435</v>
      </c>
      <c r="Y26" s="74" t="s">
        <v>1801</v>
      </c>
      <c r="Z26" s="74" t="s">
        <v>1802</v>
      </c>
      <c r="AA26" s="47"/>
      <c r="AB26" s="47"/>
      <c r="AC26" s="74"/>
      <c r="AD26" s="47" t="s">
        <v>1803</v>
      </c>
    </row>
    <row r="27" spans="1:30" s="82" customFormat="1" ht="86.25">
      <c r="A27" s="70">
        <f t="shared" si="0"/>
        <v>24</v>
      </c>
      <c r="B27" s="71" t="s">
        <v>436</v>
      </c>
      <c r="C27" s="47"/>
      <c r="D27" s="47" t="s">
        <v>1804</v>
      </c>
      <c r="E27" s="47">
        <v>2011</v>
      </c>
      <c r="F27" s="47" t="s">
        <v>11</v>
      </c>
      <c r="G27" s="47" t="s">
        <v>1748</v>
      </c>
      <c r="H27" s="47" t="s">
        <v>1584</v>
      </c>
      <c r="I27" s="47" t="s">
        <v>630</v>
      </c>
      <c r="J27" s="47" t="s">
        <v>211</v>
      </c>
      <c r="K27" s="72" t="s">
        <v>1805</v>
      </c>
      <c r="L27" s="47" t="s">
        <v>1806</v>
      </c>
      <c r="M27" s="47" t="s">
        <v>1807</v>
      </c>
      <c r="N27" s="47" t="s">
        <v>1571</v>
      </c>
      <c r="O27" s="47" t="s">
        <v>1599</v>
      </c>
      <c r="P27" s="47" t="s">
        <v>1572</v>
      </c>
      <c r="Q27" s="47" t="s">
        <v>1576</v>
      </c>
      <c r="R27" s="47" t="s">
        <v>1600</v>
      </c>
      <c r="S27" s="47" t="s">
        <v>1574</v>
      </c>
      <c r="T27" s="47" t="s">
        <v>437</v>
      </c>
      <c r="U27" s="47" t="s">
        <v>1808</v>
      </c>
      <c r="V27" s="47" t="s">
        <v>438</v>
      </c>
      <c r="W27" s="47" t="s">
        <v>439</v>
      </c>
      <c r="X27" s="73" t="s">
        <v>440</v>
      </c>
      <c r="Y27" s="74" t="s">
        <v>1809</v>
      </c>
      <c r="Z27" s="74" t="s">
        <v>1810</v>
      </c>
      <c r="AA27" s="47"/>
      <c r="AB27" s="47"/>
      <c r="AC27" s="74"/>
      <c r="AD27" s="47" t="s">
        <v>1811</v>
      </c>
    </row>
    <row r="28" spans="1:30" s="82" customFormat="1" ht="86.25">
      <c r="A28" s="70">
        <f t="shared" si="0"/>
        <v>25</v>
      </c>
      <c r="B28" s="71" t="s">
        <v>441</v>
      </c>
      <c r="C28" s="47"/>
      <c r="D28" s="47" t="s">
        <v>1812</v>
      </c>
      <c r="E28" s="47">
        <v>1964</v>
      </c>
      <c r="F28" s="47" t="s">
        <v>11</v>
      </c>
      <c r="G28" s="47" t="s">
        <v>1748</v>
      </c>
      <c r="H28" s="47" t="s">
        <v>1813</v>
      </c>
      <c r="I28" s="47" t="s">
        <v>630</v>
      </c>
      <c r="J28" s="47" t="s">
        <v>211</v>
      </c>
      <c r="K28" s="72" t="s">
        <v>1814</v>
      </c>
      <c r="L28" s="47" t="s">
        <v>1815</v>
      </c>
      <c r="M28" s="47" t="s">
        <v>1816</v>
      </c>
      <c r="N28" s="47" t="s">
        <v>1753</v>
      </c>
      <c r="O28" s="47" t="s">
        <v>1613</v>
      </c>
      <c r="P28" s="47" t="s">
        <v>1599</v>
      </c>
      <c r="Q28" s="47" t="s">
        <v>1626</v>
      </c>
      <c r="R28" s="47" t="s">
        <v>1588</v>
      </c>
      <c r="S28" s="47" t="s">
        <v>1600</v>
      </c>
      <c r="T28" s="47" t="s">
        <v>442</v>
      </c>
      <c r="U28" s="47" t="s">
        <v>443</v>
      </c>
      <c r="V28" s="47" t="s">
        <v>444</v>
      </c>
      <c r="W28" s="47" t="s">
        <v>445</v>
      </c>
      <c r="X28" s="73" t="s">
        <v>446</v>
      </c>
      <c r="Y28" s="74" t="s">
        <v>1817</v>
      </c>
      <c r="Z28" s="74" t="s">
        <v>1818</v>
      </c>
      <c r="AA28" s="47"/>
      <c r="AB28" s="47"/>
      <c r="AC28" s="74"/>
      <c r="AD28" s="47" t="s">
        <v>1819</v>
      </c>
    </row>
    <row r="29" spans="1:30" s="82" customFormat="1" ht="86.25">
      <c r="A29" s="70">
        <f t="shared" si="0"/>
        <v>26</v>
      </c>
      <c r="B29" s="71" t="s">
        <v>447</v>
      </c>
      <c r="C29" s="47"/>
      <c r="D29" s="47" t="s">
        <v>1820</v>
      </c>
      <c r="E29" s="47">
        <v>1990</v>
      </c>
      <c r="F29" s="47" t="s">
        <v>11</v>
      </c>
      <c r="G29" s="47" t="s">
        <v>1748</v>
      </c>
      <c r="H29" s="47" t="s">
        <v>1584</v>
      </c>
      <c r="I29" s="47" t="s">
        <v>630</v>
      </c>
      <c r="J29" s="47" t="s">
        <v>210</v>
      </c>
      <c r="K29" s="72" t="s">
        <v>1821</v>
      </c>
      <c r="L29" s="47" t="s">
        <v>1822</v>
      </c>
      <c r="M29" s="47" t="s">
        <v>1823</v>
      </c>
      <c r="N29" s="47" t="s">
        <v>1753</v>
      </c>
      <c r="O29" s="47" t="s">
        <v>1824</v>
      </c>
      <c r="P29" s="47"/>
      <c r="Q29" s="47" t="s">
        <v>1772</v>
      </c>
      <c r="R29" s="47" t="s">
        <v>1615</v>
      </c>
      <c r="S29" s="47" t="s">
        <v>1574</v>
      </c>
      <c r="T29" s="47" t="s">
        <v>448</v>
      </c>
      <c r="U29" s="47" t="s">
        <v>1792</v>
      </c>
      <c r="V29" s="47" t="s">
        <v>449</v>
      </c>
      <c r="W29" s="47" t="s">
        <v>450</v>
      </c>
      <c r="X29" s="73" t="s">
        <v>451</v>
      </c>
      <c r="Y29" s="74" t="s">
        <v>1825</v>
      </c>
      <c r="Z29" s="74" t="s">
        <v>1826</v>
      </c>
      <c r="AA29" s="47"/>
      <c r="AB29" s="47"/>
      <c r="AC29" s="74"/>
      <c r="AD29" s="47" t="s">
        <v>1827</v>
      </c>
    </row>
    <row r="30" spans="1:30" s="82" customFormat="1" ht="86.25">
      <c r="A30" s="70">
        <f t="shared" si="0"/>
        <v>27</v>
      </c>
      <c r="B30" s="71" t="s">
        <v>452</v>
      </c>
      <c r="C30" s="47"/>
      <c r="D30" s="47" t="s">
        <v>1828</v>
      </c>
      <c r="E30" s="47">
        <v>1992</v>
      </c>
      <c r="F30" s="47" t="s">
        <v>11</v>
      </c>
      <c r="G30" s="47" t="s">
        <v>1748</v>
      </c>
      <c r="H30" s="47" t="s">
        <v>1829</v>
      </c>
      <c r="I30" s="47" t="s">
        <v>630</v>
      </c>
      <c r="J30" s="47" t="s">
        <v>211</v>
      </c>
      <c r="K30" s="72" t="s">
        <v>1830</v>
      </c>
      <c r="L30" s="47" t="s">
        <v>1831</v>
      </c>
      <c r="M30" s="47" t="s">
        <v>1832</v>
      </c>
      <c r="N30" s="47" t="s">
        <v>1571</v>
      </c>
      <c r="O30" s="47" t="s">
        <v>1572</v>
      </c>
      <c r="P30" s="47" t="s">
        <v>1599</v>
      </c>
      <c r="Q30" s="47" t="s">
        <v>1772</v>
      </c>
      <c r="R30" s="47" t="s">
        <v>1576</v>
      </c>
      <c r="S30" s="47" t="s">
        <v>1626</v>
      </c>
      <c r="T30" s="47" t="s">
        <v>453</v>
      </c>
      <c r="U30" s="47" t="s">
        <v>1833</v>
      </c>
      <c r="V30" s="47" t="s">
        <v>454</v>
      </c>
      <c r="W30" s="47" t="s">
        <v>455</v>
      </c>
      <c r="X30" s="73" t="s">
        <v>456</v>
      </c>
      <c r="Y30" s="74" t="s">
        <v>1834</v>
      </c>
      <c r="Z30" s="74" t="s">
        <v>1835</v>
      </c>
      <c r="AA30" s="47"/>
      <c r="AB30" s="47"/>
      <c r="AC30" s="74"/>
      <c r="AD30" s="47" t="s">
        <v>1836</v>
      </c>
    </row>
    <row r="31" spans="1:30" s="82" customFormat="1" ht="103.5">
      <c r="A31" s="70">
        <f t="shared" si="0"/>
        <v>28</v>
      </c>
      <c r="B31" s="71" t="s">
        <v>457</v>
      </c>
      <c r="C31" s="47"/>
      <c r="D31" s="47" t="s">
        <v>1837</v>
      </c>
      <c r="E31" s="47">
        <v>1996</v>
      </c>
      <c r="F31" s="47" t="s">
        <v>11</v>
      </c>
      <c r="G31" s="47" t="s">
        <v>1748</v>
      </c>
      <c r="H31" s="47" t="s">
        <v>1838</v>
      </c>
      <c r="I31" s="47" t="s">
        <v>630</v>
      </c>
      <c r="J31" s="47" t="s">
        <v>1839</v>
      </c>
      <c r="K31" s="72" t="s">
        <v>1840</v>
      </c>
      <c r="L31" s="47" t="s">
        <v>1841</v>
      </c>
      <c r="M31" s="47" t="s">
        <v>1842</v>
      </c>
      <c r="N31" s="47" t="s">
        <v>1753</v>
      </c>
      <c r="O31" s="47" t="s">
        <v>1613</v>
      </c>
      <c r="P31" s="47" t="s">
        <v>1599</v>
      </c>
      <c r="Q31" s="47" t="s">
        <v>1600</v>
      </c>
      <c r="R31" s="47" t="s">
        <v>1576</v>
      </c>
      <c r="S31" s="47" t="s">
        <v>1636</v>
      </c>
      <c r="T31" s="47" t="s">
        <v>458</v>
      </c>
      <c r="U31" s="47" t="s">
        <v>1843</v>
      </c>
      <c r="V31" s="75" t="s">
        <v>459</v>
      </c>
      <c r="W31" s="75" t="s">
        <v>460</v>
      </c>
      <c r="X31" s="73" t="s">
        <v>461</v>
      </c>
      <c r="Y31" s="74" t="s">
        <v>1844</v>
      </c>
      <c r="Z31" s="74" t="s">
        <v>1845</v>
      </c>
      <c r="AA31" s="47" t="s">
        <v>1846</v>
      </c>
      <c r="AB31" s="47"/>
      <c r="AC31" s="74"/>
      <c r="AD31" s="47" t="s">
        <v>1847</v>
      </c>
    </row>
    <row r="32" spans="1:30" s="82" customFormat="1" ht="155.25">
      <c r="A32" s="70">
        <f t="shared" si="0"/>
        <v>29</v>
      </c>
      <c r="B32" s="71" t="s">
        <v>462</v>
      </c>
      <c r="C32" s="47"/>
      <c r="D32" s="47" t="s">
        <v>1848</v>
      </c>
      <c r="E32" s="47" t="s">
        <v>1849</v>
      </c>
      <c r="F32" s="47" t="s">
        <v>11</v>
      </c>
      <c r="G32" s="47" t="s">
        <v>1748</v>
      </c>
      <c r="H32" s="47" t="s">
        <v>1850</v>
      </c>
      <c r="I32" s="47" t="s">
        <v>630</v>
      </c>
      <c r="J32" s="47" t="s">
        <v>1851</v>
      </c>
      <c r="K32" s="72" t="s">
        <v>1852</v>
      </c>
      <c r="L32" s="47" t="s">
        <v>1853</v>
      </c>
      <c r="M32" s="47" t="s">
        <v>1854</v>
      </c>
      <c r="N32" s="47" t="s">
        <v>1571</v>
      </c>
      <c r="O32" s="47" t="s">
        <v>1572</v>
      </c>
      <c r="P32" s="47" t="s">
        <v>1855</v>
      </c>
      <c r="Q32" s="47" t="s">
        <v>1626</v>
      </c>
      <c r="R32" s="47" t="s">
        <v>1576</v>
      </c>
      <c r="S32" s="47" t="s">
        <v>1600</v>
      </c>
      <c r="T32" s="47" t="s">
        <v>463</v>
      </c>
      <c r="U32" s="47" t="s">
        <v>1856</v>
      </c>
      <c r="V32" s="47" t="s">
        <v>464</v>
      </c>
      <c r="W32" s="47" t="s">
        <v>465</v>
      </c>
      <c r="X32" s="73" t="s">
        <v>466</v>
      </c>
      <c r="Y32" s="74" t="s">
        <v>1857</v>
      </c>
      <c r="Z32" s="74" t="s">
        <v>1858</v>
      </c>
      <c r="AA32" s="47" t="s">
        <v>1859</v>
      </c>
      <c r="AB32" s="47"/>
      <c r="AC32" s="74"/>
      <c r="AD32" s="47" t="s">
        <v>1860</v>
      </c>
    </row>
    <row r="33" spans="1:30" s="82" customFormat="1" ht="86.25">
      <c r="A33" s="70">
        <f t="shared" si="0"/>
        <v>30</v>
      </c>
      <c r="B33" s="71" t="s">
        <v>467</v>
      </c>
      <c r="C33" s="47" t="s">
        <v>468</v>
      </c>
      <c r="D33" s="47" t="s">
        <v>1861</v>
      </c>
      <c r="E33" s="47">
        <v>1987</v>
      </c>
      <c r="F33" s="47" t="s">
        <v>11</v>
      </c>
      <c r="G33" s="47" t="s">
        <v>1328</v>
      </c>
      <c r="H33" s="47" t="s">
        <v>1862</v>
      </c>
      <c r="I33" s="47" t="s">
        <v>630</v>
      </c>
      <c r="J33" s="47" t="s">
        <v>211</v>
      </c>
      <c r="K33" s="72" t="s">
        <v>1863</v>
      </c>
      <c r="L33" s="47" t="s">
        <v>1864</v>
      </c>
      <c r="M33" s="47" t="s">
        <v>1865</v>
      </c>
      <c r="N33" s="47" t="s">
        <v>1571</v>
      </c>
      <c r="O33" s="47" t="s">
        <v>1572</v>
      </c>
      <c r="P33" s="47" t="s">
        <v>1866</v>
      </c>
      <c r="Q33" s="47" t="s">
        <v>1626</v>
      </c>
      <c r="R33" s="47" t="s">
        <v>1600</v>
      </c>
      <c r="S33" s="47" t="s">
        <v>1772</v>
      </c>
      <c r="T33" s="47" t="s">
        <v>469</v>
      </c>
      <c r="U33" s="47" t="s">
        <v>1867</v>
      </c>
      <c r="V33" s="47" t="s">
        <v>470</v>
      </c>
      <c r="W33" s="47" t="s">
        <v>471</v>
      </c>
      <c r="X33" s="73" t="s">
        <v>472</v>
      </c>
      <c r="Y33" s="74" t="s">
        <v>1868</v>
      </c>
      <c r="Z33" s="74" t="s">
        <v>1869</v>
      </c>
      <c r="AA33" s="47"/>
      <c r="AB33" s="47"/>
      <c r="AC33" s="74"/>
      <c r="AD33" s="47" t="s">
        <v>1870</v>
      </c>
    </row>
    <row r="34" spans="1:30" s="82" customFormat="1" ht="86.25">
      <c r="A34" s="70">
        <f t="shared" si="0"/>
        <v>31</v>
      </c>
      <c r="B34" s="71" t="s">
        <v>473</v>
      </c>
      <c r="C34" s="47"/>
      <c r="D34" s="47" t="s">
        <v>1871</v>
      </c>
      <c r="E34" s="47" t="s">
        <v>1872</v>
      </c>
      <c r="F34" s="47" t="s">
        <v>11</v>
      </c>
      <c r="G34" s="47" t="s">
        <v>1873</v>
      </c>
      <c r="H34" s="47" t="s">
        <v>1862</v>
      </c>
      <c r="I34" s="47" t="s">
        <v>630</v>
      </c>
      <c r="J34" s="47" t="s">
        <v>1874</v>
      </c>
      <c r="K34" s="72" t="s">
        <v>1875</v>
      </c>
      <c r="L34" s="47" t="s">
        <v>1876</v>
      </c>
      <c r="M34" s="47" t="s">
        <v>1877</v>
      </c>
      <c r="N34" s="47" t="s">
        <v>1571</v>
      </c>
      <c r="O34" s="47" t="s">
        <v>1573</v>
      </c>
      <c r="P34" s="47" t="s">
        <v>1878</v>
      </c>
      <c r="Q34" s="47" t="s">
        <v>695</v>
      </c>
      <c r="R34" s="47" t="s">
        <v>1614</v>
      </c>
      <c r="S34" s="47" t="s">
        <v>1626</v>
      </c>
      <c r="T34" s="47" t="s">
        <v>475</v>
      </c>
      <c r="U34" s="47" t="s">
        <v>474</v>
      </c>
      <c r="V34" s="47" t="s">
        <v>476</v>
      </c>
      <c r="W34" s="47" t="s">
        <v>477</v>
      </c>
      <c r="X34" s="73" t="s">
        <v>478</v>
      </c>
      <c r="Y34" s="74"/>
      <c r="Z34" s="74" t="s">
        <v>1879</v>
      </c>
      <c r="AA34" s="47"/>
      <c r="AB34" s="47"/>
      <c r="AC34" s="74"/>
      <c r="AD34" s="47" t="s">
        <v>1880</v>
      </c>
    </row>
    <row r="35" spans="1:30" s="82" customFormat="1" ht="86.25">
      <c r="A35" s="70">
        <f t="shared" si="0"/>
        <v>32</v>
      </c>
      <c r="B35" s="71" t="s">
        <v>479</v>
      </c>
      <c r="C35" s="47"/>
      <c r="D35" s="47" t="s">
        <v>1881</v>
      </c>
      <c r="E35" s="47">
        <v>1999</v>
      </c>
      <c r="F35" s="47" t="s">
        <v>11</v>
      </c>
      <c r="G35" s="47" t="s">
        <v>1873</v>
      </c>
      <c r="H35" s="47" t="s">
        <v>1862</v>
      </c>
      <c r="I35" s="47" t="s">
        <v>630</v>
      </c>
      <c r="J35" s="47" t="s">
        <v>1882</v>
      </c>
      <c r="K35" s="72" t="s">
        <v>1883</v>
      </c>
      <c r="L35" s="47" t="s">
        <v>1884</v>
      </c>
      <c r="M35" s="47" t="s">
        <v>1885</v>
      </c>
      <c r="N35" s="47" t="s">
        <v>1571</v>
      </c>
      <c r="O35" s="47" t="s">
        <v>1573</v>
      </c>
      <c r="P35" s="47" t="s">
        <v>1878</v>
      </c>
      <c r="Q35" s="47" t="s">
        <v>1588</v>
      </c>
      <c r="R35" s="47" t="s">
        <v>1626</v>
      </c>
      <c r="S35" s="47" t="s">
        <v>1614</v>
      </c>
      <c r="T35" s="47"/>
      <c r="U35" s="47"/>
      <c r="V35" s="47"/>
      <c r="W35" s="47" t="s">
        <v>1886</v>
      </c>
      <c r="X35" s="73"/>
      <c r="Y35" s="74"/>
      <c r="Z35" s="74" t="s">
        <v>1887</v>
      </c>
      <c r="AA35" s="47"/>
      <c r="AB35" s="47"/>
      <c r="AC35" s="74"/>
      <c r="AD35" s="47" t="s">
        <v>1888</v>
      </c>
    </row>
    <row r="36" spans="1:30" s="82" customFormat="1" ht="86.25">
      <c r="A36" s="70">
        <f t="shared" si="0"/>
        <v>33</v>
      </c>
      <c r="B36" s="71" t="s">
        <v>480</v>
      </c>
      <c r="C36" s="47" t="s">
        <v>481</v>
      </c>
      <c r="D36" s="47" t="s">
        <v>1889</v>
      </c>
      <c r="E36" s="47">
        <v>2000</v>
      </c>
      <c r="F36" s="47" t="s">
        <v>11</v>
      </c>
      <c r="G36" s="47" t="s">
        <v>1873</v>
      </c>
      <c r="H36" s="47" t="s">
        <v>1862</v>
      </c>
      <c r="I36" s="47" t="s">
        <v>842</v>
      </c>
      <c r="J36" s="47" t="s">
        <v>1890</v>
      </c>
      <c r="K36" s="72" t="s">
        <v>1891</v>
      </c>
      <c r="L36" s="47" t="s">
        <v>1892</v>
      </c>
      <c r="M36" s="47" t="s">
        <v>1893</v>
      </c>
      <c r="N36" s="47" t="s">
        <v>1571</v>
      </c>
      <c r="O36" s="47" t="s">
        <v>1599</v>
      </c>
      <c r="P36" s="47" t="s">
        <v>1572</v>
      </c>
      <c r="Q36" s="47" t="s">
        <v>1576</v>
      </c>
      <c r="R36" s="47" t="s">
        <v>1600</v>
      </c>
      <c r="S36" s="47" t="s">
        <v>1636</v>
      </c>
      <c r="T36" s="47"/>
      <c r="U36" s="47"/>
      <c r="V36" s="47" t="s">
        <v>482</v>
      </c>
      <c r="W36" s="47" t="s">
        <v>483</v>
      </c>
      <c r="X36" s="73" t="s">
        <v>484</v>
      </c>
      <c r="Y36" s="74" t="s">
        <v>1894</v>
      </c>
      <c r="Z36" s="74" t="s">
        <v>1895</v>
      </c>
      <c r="AA36" s="47" t="s">
        <v>1896</v>
      </c>
      <c r="AB36" s="47"/>
      <c r="AC36" s="74"/>
      <c r="AD36" s="47" t="s">
        <v>1897</v>
      </c>
    </row>
    <row r="37" spans="1:30" s="82" customFormat="1" ht="86.25">
      <c r="A37" s="70">
        <f t="shared" si="0"/>
        <v>34</v>
      </c>
      <c r="B37" s="71" t="s">
        <v>485</v>
      </c>
      <c r="C37" s="47"/>
      <c r="D37" s="47" t="s">
        <v>1898</v>
      </c>
      <c r="E37" s="47">
        <v>1920</v>
      </c>
      <c r="F37" s="47" t="s">
        <v>11</v>
      </c>
      <c r="G37" s="47" t="s">
        <v>1873</v>
      </c>
      <c r="H37" s="47" t="s">
        <v>1862</v>
      </c>
      <c r="I37" s="47" t="s">
        <v>630</v>
      </c>
      <c r="J37" s="47" t="s">
        <v>211</v>
      </c>
      <c r="K37" s="72" t="s">
        <v>1899</v>
      </c>
      <c r="L37" s="47" t="s">
        <v>1900</v>
      </c>
      <c r="M37" s="47" t="s">
        <v>486</v>
      </c>
      <c r="N37" s="47" t="s">
        <v>1901</v>
      </c>
      <c r="O37" s="47" t="s">
        <v>1599</v>
      </c>
      <c r="P37" s="47"/>
      <c r="Q37" s="47" t="s">
        <v>1600</v>
      </c>
      <c r="R37" s="47" t="s">
        <v>1576</v>
      </c>
      <c r="S37" s="47" t="s">
        <v>1636</v>
      </c>
      <c r="T37" s="47"/>
      <c r="U37" s="47"/>
      <c r="V37" s="47" t="s">
        <v>487</v>
      </c>
      <c r="W37" s="47" t="s">
        <v>488</v>
      </c>
      <c r="X37" s="73" t="s">
        <v>489</v>
      </c>
      <c r="Y37" s="74" t="s">
        <v>1902</v>
      </c>
      <c r="Z37" s="74" t="s">
        <v>1903</v>
      </c>
      <c r="AA37" s="47"/>
      <c r="AB37" s="47"/>
      <c r="AC37" s="74"/>
      <c r="AD37" s="47" t="s">
        <v>1904</v>
      </c>
    </row>
    <row r="38" spans="1:30" s="82" customFormat="1" ht="86.25">
      <c r="A38" s="70">
        <f t="shared" si="0"/>
        <v>35</v>
      </c>
      <c r="B38" s="71" t="s">
        <v>490</v>
      </c>
      <c r="C38" s="47" t="s">
        <v>491</v>
      </c>
      <c r="D38" s="47" t="s">
        <v>1905</v>
      </c>
      <c r="E38" s="47">
        <v>2002</v>
      </c>
      <c r="F38" s="47" t="s">
        <v>11</v>
      </c>
      <c r="G38" s="47" t="s">
        <v>1873</v>
      </c>
      <c r="H38" s="47" t="s">
        <v>1862</v>
      </c>
      <c r="I38" s="47" t="s">
        <v>630</v>
      </c>
      <c r="J38" s="47" t="s">
        <v>1906</v>
      </c>
      <c r="K38" s="72" t="s">
        <v>1907</v>
      </c>
      <c r="L38" s="47" t="s">
        <v>1908</v>
      </c>
      <c r="M38" s="47" t="s">
        <v>1909</v>
      </c>
      <c r="N38" s="47" t="s">
        <v>1753</v>
      </c>
      <c r="O38" s="47" t="s">
        <v>1613</v>
      </c>
      <c r="P38" s="47" t="s">
        <v>1599</v>
      </c>
      <c r="Q38" s="47" t="s">
        <v>1588</v>
      </c>
      <c r="R38" s="47" t="s">
        <v>1615</v>
      </c>
      <c r="S38" s="47" t="s">
        <v>1576</v>
      </c>
      <c r="T38" s="47"/>
      <c r="U38" s="47"/>
      <c r="V38" s="47" t="s">
        <v>492</v>
      </c>
      <c r="W38" s="47" t="s">
        <v>493</v>
      </c>
      <c r="X38" s="73" t="s">
        <v>494</v>
      </c>
      <c r="Y38" s="74" t="s">
        <v>495</v>
      </c>
      <c r="Z38" s="74" t="s">
        <v>1910</v>
      </c>
      <c r="AA38" s="47"/>
      <c r="AB38" s="47"/>
      <c r="AC38" s="74"/>
      <c r="AD38" s="47" t="s">
        <v>1911</v>
      </c>
    </row>
    <row r="39" spans="1:30" s="82" customFormat="1" ht="103.5">
      <c r="A39" s="70">
        <f t="shared" si="0"/>
        <v>36</v>
      </c>
      <c r="B39" s="71" t="s">
        <v>496</v>
      </c>
      <c r="C39" s="47"/>
      <c r="D39" s="47" t="s">
        <v>1912</v>
      </c>
      <c r="E39" s="47">
        <v>2006</v>
      </c>
      <c r="F39" s="47" t="s">
        <v>11</v>
      </c>
      <c r="G39" s="47" t="s">
        <v>1873</v>
      </c>
      <c r="H39" s="47" t="s">
        <v>1862</v>
      </c>
      <c r="I39" s="47" t="s">
        <v>630</v>
      </c>
      <c r="J39" s="47" t="s">
        <v>630</v>
      </c>
      <c r="K39" s="72" t="s">
        <v>1913</v>
      </c>
      <c r="L39" s="47" t="s">
        <v>1914</v>
      </c>
      <c r="M39" s="47" t="s">
        <v>1915</v>
      </c>
      <c r="N39" s="47" t="s">
        <v>1571</v>
      </c>
      <c r="O39" s="47" t="s">
        <v>1878</v>
      </c>
      <c r="P39" s="47" t="s">
        <v>1572</v>
      </c>
      <c r="Q39" s="47" t="s">
        <v>1576</v>
      </c>
      <c r="R39" s="47" t="s">
        <v>1600</v>
      </c>
      <c r="S39" s="47" t="s">
        <v>1636</v>
      </c>
      <c r="T39" s="47"/>
      <c r="U39" s="47"/>
      <c r="V39" s="47" t="s">
        <v>497</v>
      </c>
      <c r="W39" s="47" t="s">
        <v>498</v>
      </c>
      <c r="X39" s="73" t="s">
        <v>499</v>
      </c>
      <c r="Y39" s="74" t="s">
        <v>1916</v>
      </c>
      <c r="Z39" s="74" t="s">
        <v>1917</v>
      </c>
      <c r="AA39" s="47" t="s">
        <v>1918</v>
      </c>
      <c r="AB39" s="47"/>
      <c r="AC39" s="74"/>
      <c r="AD39" s="47" t="s">
        <v>1919</v>
      </c>
    </row>
    <row r="40" spans="1:30" s="82" customFormat="1" ht="86.25">
      <c r="A40" s="70">
        <f t="shared" si="0"/>
        <v>37</v>
      </c>
      <c r="B40" s="71" t="s">
        <v>500</v>
      </c>
      <c r="C40" s="47" t="s">
        <v>501</v>
      </c>
      <c r="D40" s="47" t="s">
        <v>1920</v>
      </c>
      <c r="E40" s="47">
        <v>2007</v>
      </c>
      <c r="F40" s="47" t="s">
        <v>11</v>
      </c>
      <c r="G40" s="47" t="s">
        <v>1873</v>
      </c>
      <c r="H40" s="47" t="s">
        <v>1921</v>
      </c>
      <c r="I40" s="47" t="s">
        <v>630</v>
      </c>
      <c r="J40" s="47" t="s">
        <v>630</v>
      </c>
      <c r="K40" s="72" t="s">
        <v>1922</v>
      </c>
      <c r="L40" s="47" t="s">
        <v>1923</v>
      </c>
      <c r="M40" s="47"/>
      <c r="N40" s="47" t="s">
        <v>1901</v>
      </c>
      <c r="O40" s="47" t="s">
        <v>1599</v>
      </c>
      <c r="P40" s="47"/>
      <c r="Q40" s="47" t="s">
        <v>1588</v>
      </c>
      <c r="R40" s="47" t="s">
        <v>1626</v>
      </c>
      <c r="S40" s="47" t="s">
        <v>1600</v>
      </c>
      <c r="T40" s="47"/>
      <c r="U40" s="47"/>
      <c r="V40" s="47"/>
      <c r="W40" s="75" t="s">
        <v>502</v>
      </c>
      <c r="X40" s="73"/>
      <c r="Y40" s="74"/>
      <c r="Z40" s="74"/>
      <c r="AA40" s="47"/>
      <c r="AB40" s="47"/>
      <c r="AC40" s="74"/>
      <c r="AD40" s="47" t="s">
        <v>1924</v>
      </c>
    </row>
    <row r="41" spans="1:30" s="82" customFormat="1" ht="103.5">
      <c r="A41" s="70">
        <f t="shared" si="0"/>
        <v>38</v>
      </c>
      <c r="B41" s="71" t="s">
        <v>3</v>
      </c>
      <c r="C41" s="47"/>
      <c r="D41" s="47" t="s">
        <v>1925</v>
      </c>
      <c r="E41" s="47">
        <v>2007</v>
      </c>
      <c r="F41" s="47" t="s">
        <v>11</v>
      </c>
      <c r="G41" s="47" t="s">
        <v>1873</v>
      </c>
      <c r="H41" s="47" t="s">
        <v>1862</v>
      </c>
      <c r="I41" s="47" t="s">
        <v>1926</v>
      </c>
      <c r="J41" s="47" t="s">
        <v>1927</v>
      </c>
      <c r="K41" s="72" t="s">
        <v>1928</v>
      </c>
      <c r="L41" s="47" t="s">
        <v>1929</v>
      </c>
      <c r="M41" s="47" t="s">
        <v>1930</v>
      </c>
      <c r="N41" s="47" t="s">
        <v>1571</v>
      </c>
      <c r="O41" s="47" t="s">
        <v>1599</v>
      </c>
      <c r="P41" s="47" t="s">
        <v>1572</v>
      </c>
      <c r="Q41" s="47" t="s">
        <v>1576</v>
      </c>
      <c r="R41" s="47" t="s">
        <v>1600</v>
      </c>
      <c r="S41" s="47" t="s">
        <v>1931</v>
      </c>
      <c r="T41" s="47"/>
      <c r="U41" s="47"/>
      <c r="V41" s="47" t="s">
        <v>503</v>
      </c>
      <c r="W41" s="47" t="s">
        <v>504</v>
      </c>
      <c r="X41" s="73" t="s">
        <v>505</v>
      </c>
      <c r="Y41" s="74" t="s">
        <v>1932</v>
      </c>
      <c r="Z41" s="74" t="s">
        <v>1933</v>
      </c>
      <c r="AA41" s="47" t="s">
        <v>1934</v>
      </c>
      <c r="AB41" s="47"/>
      <c r="AC41" s="74"/>
      <c r="AD41" s="47" t="s">
        <v>1935</v>
      </c>
    </row>
    <row r="42" spans="1:30" s="82" customFormat="1" ht="103.5">
      <c r="A42" s="70">
        <f t="shared" si="0"/>
        <v>39</v>
      </c>
      <c r="B42" s="71" t="s">
        <v>506</v>
      </c>
      <c r="C42" s="47"/>
      <c r="D42" s="47" t="s">
        <v>1936</v>
      </c>
      <c r="E42" s="47">
        <v>2001</v>
      </c>
      <c r="F42" s="47" t="s">
        <v>11</v>
      </c>
      <c r="G42" s="47" t="s">
        <v>1873</v>
      </c>
      <c r="H42" s="47" t="s">
        <v>1862</v>
      </c>
      <c r="I42" s="47" t="s">
        <v>630</v>
      </c>
      <c r="J42" s="47" t="s">
        <v>630</v>
      </c>
      <c r="K42" s="72" t="s">
        <v>1937</v>
      </c>
      <c r="L42" s="47" t="s">
        <v>1938</v>
      </c>
      <c r="M42" s="47" t="s">
        <v>1939</v>
      </c>
      <c r="N42" s="47" t="s">
        <v>1635</v>
      </c>
      <c r="O42" s="47"/>
      <c r="P42" s="47"/>
      <c r="Q42" s="47" t="s">
        <v>1576</v>
      </c>
      <c r="R42" s="47" t="s">
        <v>1575</v>
      </c>
      <c r="S42" s="47" t="s">
        <v>1940</v>
      </c>
      <c r="T42" s="47"/>
      <c r="U42" s="47"/>
      <c r="V42" s="47"/>
      <c r="W42" s="75" t="s">
        <v>510</v>
      </c>
      <c r="X42" s="73" t="s">
        <v>507</v>
      </c>
      <c r="Y42" s="74" t="s">
        <v>1941</v>
      </c>
      <c r="Z42" s="74" t="s">
        <v>1942</v>
      </c>
      <c r="AA42" s="47"/>
      <c r="AB42" s="47"/>
      <c r="AC42" s="74"/>
      <c r="AD42" s="47" t="s">
        <v>1943</v>
      </c>
    </row>
    <row r="43" spans="1:30" s="82" customFormat="1" ht="86.25">
      <c r="A43" s="70">
        <f t="shared" si="0"/>
        <v>40</v>
      </c>
      <c r="B43" s="71" t="s">
        <v>508</v>
      </c>
      <c r="C43" s="47" t="s">
        <v>509</v>
      </c>
      <c r="D43" s="47" t="s">
        <v>1944</v>
      </c>
      <c r="E43" s="47">
        <v>1974</v>
      </c>
      <c r="F43" s="47" t="s">
        <v>11</v>
      </c>
      <c r="G43" s="47" t="s">
        <v>1873</v>
      </c>
      <c r="H43" s="47" t="s">
        <v>1862</v>
      </c>
      <c r="I43" s="47" t="s">
        <v>630</v>
      </c>
      <c r="J43" s="47" t="s">
        <v>630</v>
      </c>
      <c r="K43" s="72" t="s">
        <v>1945</v>
      </c>
      <c r="L43" s="76" t="s">
        <v>1946</v>
      </c>
      <c r="M43" s="47"/>
      <c r="N43" s="47" t="s">
        <v>1635</v>
      </c>
      <c r="O43" s="47"/>
      <c r="P43" s="47"/>
      <c r="Q43" s="47" t="s">
        <v>1931</v>
      </c>
      <c r="R43" s="47" t="s">
        <v>1600</v>
      </c>
      <c r="S43" s="47" t="s">
        <v>1626</v>
      </c>
      <c r="T43" s="47"/>
      <c r="U43" s="47"/>
      <c r="V43" s="77" t="s">
        <v>512</v>
      </c>
      <c r="W43" s="75" t="s">
        <v>511</v>
      </c>
      <c r="X43" s="73" t="s">
        <v>513</v>
      </c>
      <c r="Y43" s="74"/>
      <c r="Z43" s="74" t="s">
        <v>1947</v>
      </c>
      <c r="AA43" s="47"/>
      <c r="AB43" s="47"/>
      <c r="AC43" s="74"/>
      <c r="AD43" s="47" t="s">
        <v>1948</v>
      </c>
    </row>
    <row r="44" spans="1:30" s="82" customFormat="1" ht="86.25">
      <c r="A44" s="70">
        <f t="shared" si="0"/>
        <v>41</v>
      </c>
      <c r="B44" s="71" t="s">
        <v>514</v>
      </c>
      <c r="C44" s="47" t="s">
        <v>515</v>
      </c>
      <c r="D44" s="47" t="s">
        <v>1949</v>
      </c>
      <c r="E44" s="47">
        <v>1984</v>
      </c>
      <c r="F44" s="47" t="s">
        <v>11</v>
      </c>
      <c r="G44" s="47" t="s">
        <v>1873</v>
      </c>
      <c r="H44" s="47" t="s">
        <v>1950</v>
      </c>
      <c r="I44" s="47" t="s">
        <v>630</v>
      </c>
      <c r="J44" s="47" t="s">
        <v>1951</v>
      </c>
      <c r="K44" s="72" t="s">
        <v>1952</v>
      </c>
      <c r="L44" s="47" t="s">
        <v>1953</v>
      </c>
      <c r="M44" s="47" t="s">
        <v>1954</v>
      </c>
      <c r="N44" s="47" t="s">
        <v>1612</v>
      </c>
      <c r="O44" s="47" t="s">
        <v>1573</v>
      </c>
      <c r="P44" s="47" t="s">
        <v>1613</v>
      </c>
      <c r="Q44" s="47" t="s">
        <v>1614</v>
      </c>
      <c r="R44" s="47" t="s">
        <v>1574</v>
      </c>
      <c r="S44" s="47" t="s">
        <v>1588</v>
      </c>
      <c r="T44" s="47" t="s">
        <v>516</v>
      </c>
      <c r="U44" s="47" t="s">
        <v>1955</v>
      </c>
      <c r="V44" s="47" t="s">
        <v>517</v>
      </c>
      <c r="W44" s="47" t="s">
        <v>518</v>
      </c>
      <c r="X44" s="73" t="s">
        <v>519</v>
      </c>
      <c r="Y44" s="74" t="s">
        <v>1956</v>
      </c>
      <c r="Z44" s="74" t="s">
        <v>1957</v>
      </c>
      <c r="AA44" s="47"/>
      <c r="AB44" s="47"/>
      <c r="AC44" s="74"/>
      <c r="AD44" s="47" t="s">
        <v>1958</v>
      </c>
    </row>
    <row r="45" spans="1:30" s="82" customFormat="1" ht="103.5">
      <c r="A45" s="70">
        <f t="shared" si="0"/>
        <v>42</v>
      </c>
      <c r="B45" s="71" t="s">
        <v>520</v>
      </c>
      <c r="C45" s="47" t="s">
        <v>525</v>
      </c>
      <c r="D45" s="47" t="s">
        <v>1959</v>
      </c>
      <c r="E45" s="47">
        <v>1942</v>
      </c>
      <c r="F45" s="47" t="s">
        <v>11</v>
      </c>
      <c r="G45" s="47" t="s">
        <v>1873</v>
      </c>
      <c r="H45" s="47" t="s">
        <v>1960</v>
      </c>
      <c r="I45" s="47" t="s">
        <v>630</v>
      </c>
      <c r="J45" s="47" t="s">
        <v>1961</v>
      </c>
      <c r="K45" s="72" t="s">
        <v>1962</v>
      </c>
      <c r="L45" s="47" t="s">
        <v>1963</v>
      </c>
      <c r="M45" s="47" t="s">
        <v>1964</v>
      </c>
      <c r="N45" s="47" t="s">
        <v>1571</v>
      </c>
      <c r="O45" s="47" t="s">
        <v>1824</v>
      </c>
      <c r="P45" s="47" t="s">
        <v>1572</v>
      </c>
      <c r="Q45" s="47" t="s">
        <v>1574</v>
      </c>
      <c r="R45" s="47" t="s">
        <v>1615</v>
      </c>
      <c r="S45" s="47" t="s">
        <v>1576</v>
      </c>
      <c r="T45" s="47" t="s">
        <v>521</v>
      </c>
      <c r="U45" s="47" t="s">
        <v>1965</v>
      </c>
      <c r="V45" s="47" t="s">
        <v>522</v>
      </c>
      <c r="W45" s="47" t="s">
        <v>523</v>
      </c>
      <c r="X45" s="73" t="s">
        <v>524</v>
      </c>
      <c r="Y45" s="74" t="s">
        <v>1966</v>
      </c>
      <c r="Z45" s="74" t="s">
        <v>1967</v>
      </c>
      <c r="AA45" s="47" t="s">
        <v>1968</v>
      </c>
      <c r="AB45" s="47"/>
      <c r="AC45" s="74"/>
      <c r="AD45" s="47" t="s">
        <v>1969</v>
      </c>
    </row>
    <row r="46" spans="1:30" s="82" customFormat="1" ht="120.75">
      <c r="A46" s="70">
        <f t="shared" si="0"/>
        <v>43</v>
      </c>
      <c r="B46" s="71" t="s">
        <v>526</v>
      </c>
      <c r="C46" s="47"/>
      <c r="D46" s="47" t="s">
        <v>1970</v>
      </c>
      <c r="E46" s="47">
        <v>1919</v>
      </c>
      <c r="F46" s="47" t="s">
        <v>11</v>
      </c>
      <c r="G46" s="47" t="s">
        <v>1873</v>
      </c>
      <c r="H46" s="47" t="s">
        <v>1862</v>
      </c>
      <c r="I46" s="47" t="s">
        <v>630</v>
      </c>
      <c r="J46" s="47" t="s">
        <v>1971</v>
      </c>
      <c r="K46" s="72" t="s">
        <v>1972</v>
      </c>
      <c r="L46" s="47" t="s">
        <v>1963</v>
      </c>
      <c r="M46" s="47" t="s">
        <v>1973</v>
      </c>
      <c r="N46" s="47" t="s">
        <v>1571</v>
      </c>
      <c r="O46" s="47" t="s">
        <v>1824</v>
      </c>
      <c r="P46" s="47" t="s">
        <v>1572</v>
      </c>
      <c r="Q46" s="47" t="s">
        <v>1974</v>
      </c>
      <c r="R46" s="47" t="s">
        <v>1626</v>
      </c>
      <c r="S46" s="47" t="s">
        <v>1588</v>
      </c>
      <c r="T46" s="47" t="s">
        <v>527</v>
      </c>
      <c r="U46" s="47" t="s">
        <v>1965</v>
      </c>
      <c r="V46" s="47" t="s">
        <v>528</v>
      </c>
      <c r="W46" s="47" t="s">
        <v>529</v>
      </c>
      <c r="X46" s="73" t="s">
        <v>530</v>
      </c>
      <c r="Y46" s="74" t="s">
        <v>1975</v>
      </c>
      <c r="Z46" s="74" t="s">
        <v>1976</v>
      </c>
      <c r="AA46" s="47" t="s">
        <v>1977</v>
      </c>
      <c r="AB46" s="47"/>
      <c r="AC46" s="74"/>
      <c r="AD46" s="47" t="s">
        <v>1978</v>
      </c>
    </row>
    <row r="47" spans="1:30" s="82" customFormat="1" ht="86.25">
      <c r="A47" s="70">
        <f t="shared" si="0"/>
        <v>44</v>
      </c>
      <c r="B47" s="71" t="s">
        <v>531</v>
      </c>
      <c r="C47" s="47"/>
      <c r="D47" s="47" t="s">
        <v>1979</v>
      </c>
      <c r="E47" s="47" t="s">
        <v>1980</v>
      </c>
      <c r="F47" s="47" t="s">
        <v>7</v>
      </c>
      <c r="G47" s="47" t="s">
        <v>1544</v>
      </c>
      <c r="H47" s="47" t="s">
        <v>1981</v>
      </c>
      <c r="I47" s="47" t="s">
        <v>1982</v>
      </c>
      <c r="J47" s="47" t="s">
        <v>1983</v>
      </c>
      <c r="K47" s="72" t="s">
        <v>1984</v>
      </c>
      <c r="L47" s="47" t="s">
        <v>1985</v>
      </c>
      <c r="M47" s="47"/>
      <c r="N47" s="47" t="s">
        <v>1612</v>
      </c>
      <c r="O47" s="47" t="s">
        <v>1573</v>
      </c>
      <c r="P47" s="47" t="s">
        <v>1986</v>
      </c>
      <c r="Q47" s="47" t="s">
        <v>1574</v>
      </c>
      <c r="R47" s="47" t="s">
        <v>1588</v>
      </c>
      <c r="S47" s="47" t="s">
        <v>1614</v>
      </c>
      <c r="T47" s="47" t="s">
        <v>532</v>
      </c>
      <c r="U47" s="47" t="s">
        <v>1987</v>
      </c>
      <c r="V47" s="47" t="s">
        <v>533</v>
      </c>
      <c r="W47" s="47" t="s">
        <v>534</v>
      </c>
      <c r="X47" s="73" t="s">
        <v>535</v>
      </c>
      <c r="Y47" s="74" t="s">
        <v>1988</v>
      </c>
      <c r="Z47" s="74" t="s">
        <v>1989</v>
      </c>
      <c r="AA47" s="47"/>
      <c r="AB47" s="47"/>
      <c r="AC47" s="74"/>
      <c r="AD47" s="47" t="s">
        <v>1990</v>
      </c>
    </row>
    <row r="48" spans="1:30" s="82" customFormat="1" ht="86.25">
      <c r="A48" s="70">
        <f t="shared" si="0"/>
        <v>45</v>
      </c>
      <c r="B48" s="71" t="s">
        <v>536</v>
      </c>
      <c r="C48" s="47" t="s">
        <v>537</v>
      </c>
      <c r="D48" s="47" t="s">
        <v>1991</v>
      </c>
      <c r="E48" s="47">
        <v>2004</v>
      </c>
      <c r="F48" s="47" t="s">
        <v>11</v>
      </c>
      <c r="G48" s="47" t="s">
        <v>1873</v>
      </c>
      <c r="H48" s="47" t="s">
        <v>1862</v>
      </c>
      <c r="I48" s="47" t="s">
        <v>630</v>
      </c>
      <c r="J48" s="47" t="s">
        <v>1992</v>
      </c>
      <c r="K48" s="72" t="s">
        <v>1993</v>
      </c>
      <c r="L48" s="47" t="s">
        <v>1994</v>
      </c>
      <c r="M48" s="47" t="s">
        <v>1995</v>
      </c>
      <c r="N48" s="47" t="s">
        <v>1571</v>
      </c>
      <c r="O48" s="47" t="s">
        <v>1599</v>
      </c>
      <c r="P48" s="47" t="s">
        <v>1572</v>
      </c>
      <c r="Q48" s="47" t="s">
        <v>1576</v>
      </c>
      <c r="R48" s="47" t="s">
        <v>1600</v>
      </c>
      <c r="S48" s="47" t="s">
        <v>1996</v>
      </c>
      <c r="T48" s="47" t="s">
        <v>538</v>
      </c>
      <c r="U48" s="47" t="s">
        <v>1965</v>
      </c>
      <c r="V48" s="47" t="s">
        <v>539</v>
      </c>
      <c r="W48" s="47" t="s">
        <v>540</v>
      </c>
      <c r="X48" s="73" t="s">
        <v>541</v>
      </c>
      <c r="Y48" s="74" t="s">
        <v>542</v>
      </c>
      <c r="Z48" s="74" t="s">
        <v>1997</v>
      </c>
      <c r="AA48" s="47"/>
      <c r="AB48" s="47"/>
      <c r="AC48" s="74"/>
      <c r="AD48" s="47" t="s">
        <v>1998</v>
      </c>
    </row>
    <row r="49" spans="1:30" s="82" customFormat="1" ht="86.25">
      <c r="A49" s="70">
        <f t="shared" si="0"/>
        <v>46</v>
      </c>
      <c r="B49" s="71" t="s">
        <v>543</v>
      </c>
      <c r="C49" s="47" t="s">
        <v>544</v>
      </c>
      <c r="D49" s="47" t="s">
        <v>1999</v>
      </c>
      <c r="E49" s="47">
        <v>1958</v>
      </c>
      <c r="F49" s="47" t="s">
        <v>11</v>
      </c>
      <c r="G49" s="47" t="s">
        <v>1873</v>
      </c>
      <c r="H49" s="47" t="s">
        <v>1862</v>
      </c>
      <c r="I49" s="47" t="s">
        <v>842</v>
      </c>
      <c r="J49" s="47" t="s">
        <v>2000</v>
      </c>
      <c r="K49" s="72" t="s">
        <v>2001</v>
      </c>
      <c r="L49" s="47" t="s">
        <v>2002</v>
      </c>
      <c r="M49" s="47" t="s">
        <v>2003</v>
      </c>
      <c r="N49" s="47" t="s">
        <v>1571</v>
      </c>
      <c r="O49" s="47" t="s">
        <v>1573</v>
      </c>
      <c r="P49" s="47" t="s">
        <v>1572</v>
      </c>
      <c r="Q49" s="47" t="s">
        <v>1626</v>
      </c>
      <c r="R49" s="47" t="s">
        <v>1574</v>
      </c>
      <c r="S49" s="47" t="s">
        <v>1588</v>
      </c>
      <c r="T49" s="47" t="s">
        <v>545</v>
      </c>
      <c r="U49" s="47" t="s">
        <v>1955</v>
      </c>
      <c r="V49" s="47" t="s">
        <v>546</v>
      </c>
      <c r="W49" s="47" t="s">
        <v>547</v>
      </c>
      <c r="X49" s="73" t="s">
        <v>548</v>
      </c>
      <c r="Y49" s="74" t="s">
        <v>2004</v>
      </c>
      <c r="Z49" s="74" t="s">
        <v>2005</v>
      </c>
      <c r="AA49" s="47" t="s">
        <v>2006</v>
      </c>
      <c r="AB49" s="47"/>
      <c r="AC49" s="74"/>
      <c r="AD49" s="47" t="s">
        <v>2007</v>
      </c>
    </row>
    <row r="50" spans="1:30" s="82" customFormat="1" ht="103.5">
      <c r="A50" s="70">
        <f t="shared" si="0"/>
        <v>47</v>
      </c>
      <c r="B50" s="71" t="s">
        <v>549</v>
      </c>
      <c r="C50" s="47" t="s">
        <v>550</v>
      </c>
      <c r="D50" s="47" t="s">
        <v>2008</v>
      </c>
      <c r="E50" s="47" t="s">
        <v>2009</v>
      </c>
      <c r="F50" s="47" t="s">
        <v>11</v>
      </c>
      <c r="G50" s="47" t="s">
        <v>1873</v>
      </c>
      <c r="H50" s="47" t="s">
        <v>1862</v>
      </c>
      <c r="I50" s="47" t="s">
        <v>842</v>
      </c>
      <c r="J50" s="47" t="s">
        <v>2010</v>
      </c>
      <c r="K50" s="72" t="s">
        <v>2011</v>
      </c>
      <c r="L50" s="47" t="s">
        <v>2012</v>
      </c>
      <c r="M50" s="47"/>
      <c r="N50" s="47" t="s">
        <v>1571</v>
      </c>
      <c r="O50" s="47" t="s">
        <v>1573</v>
      </c>
      <c r="P50" s="47" t="s">
        <v>634</v>
      </c>
      <c r="Q50" s="47" t="s">
        <v>1940</v>
      </c>
      <c r="R50" s="47" t="s">
        <v>1600</v>
      </c>
      <c r="S50" s="47" t="s">
        <v>1576</v>
      </c>
      <c r="T50" s="47" t="s">
        <v>551</v>
      </c>
      <c r="U50" s="47" t="s">
        <v>1965</v>
      </c>
      <c r="V50" s="47" t="s">
        <v>552</v>
      </c>
      <c r="W50" s="47" t="s">
        <v>553</v>
      </c>
      <c r="X50" s="73" t="s">
        <v>554</v>
      </c>
      <c r="Y50" s="74" t="s">
        <v>555</v>
      </c>
      <c r="Z50" s="74" t="s">
        <v>2013</v>
      </c>
      <c r="AA50" s="47" t="s">
        <v>2014</v>
      </c>
      <c r="AB50" s="47"/>
      <c r="AC50" s="74"/>
      <c r="AD50" s="47" t="s">
        <v>2015</v>
      </c>
    </row>
    <row r="51" spans="1:30" s="82" customFormat="1" ht="86.25">
      <c r="A51" s="70">
        <f t="shared" si="0"/>
        <v>48</v>
      </c>
      <c r="B51" s="71" t="s">
        <v>556</v>
      </c>
      <c r="C51" s="47" t="s">
        <v>557</v>
      </c>
      <c r="D51" s="47" t="s">
        <v>2016</v>
      </c>
      <c r="E51" s="47">
        <v>1993</v>
      </c>
      <c r="F51" s="47" t="s">
        <v>11</v>
      </c>
      <c r="G51" s="47" t="s">
        <v>1352</v>
      </c>
      <c r="H51" s="47" t="s">
        <v>2017</v>
      </c>
      <c r="I51" s="47" t="s">
        <v>630</v>
      </c>
      <c r="J51" s="47" t="s">
        <v>211</v>
      </c>
      <c r="K51" s="72" t="s">
        <v>2018</v>
      </c>
      <c r="L51" s="47" t="s">
        <v>2019</v>
      </c>
      <c r="M51" s="47" t="s">
        <v>2020</v>
      </c>
      <c r="N51" s="47" t="s">
        <v>1571</v>
      </c>
      <c r="O51" s="47" t="s">
        <v>634</v>
      </c>
      <c r="P51" s="47" t="s">
        <v>1572</v>
      </c>
      <c r="Q51" s="47" t="s">
        <v>1600</v>
      </c>
      <c r="R51" s="47" t="s">
        <v>1576</v>
      </c>
      <c r="S51" s="47" t="s">
        <v>1626</v>
      </c>
      <c r="T51" s="47"/>
      <c r="U51" s="47"/>
      <c r="V51" s="47" t="s">
        <v>558</v>
      </c>
      <c r="W51" s="47" t="s">
        <v>559</v>
      </c>
      <c r="X51" s="73" t="s">
        <v>560</v>
      </c>
      <c r="Y51" s="74" t="s">
        <v>2021</v>
      </c>
      <c r="Z51" s="74" t="s">
        <v>2022</v>
      </c>
      <c r="AA51" s="47"/>
      <c r="AB51" s="47"/>
      <c r="AC51" s="74"/>
      <c r="AD51" s="47" t="s">
        <v>2023</v>
      </c>
    </row>
    <row r="52" spans="1:30" s="82" customFormat="1" ht="86.25">
      <c r="A52" s="70">
        <f t="shared" si="0"/>
        <v>49</v>
      </c>
      <c r="B52" s="71" t="s">
        <v>561</v>
      </c>
      <c r="C52" s="47" t="s">
        <v>562</v>
      </c>
      <c r="D52" s="47" t="s">
        <v>2024</v>
      </c>
      <c r="E52" s="47">
        <v>1999</v>
      </c>
      <c r="F52" s="47" t="s">
        <v>11</v>
      </c>
      <c r="G52" s="47" t="s">
        <v>1352</v>
      </c>
      <c r="H52" s="47" t="s">
        <v>2025</v>
      </c>
      <c r="I52" s="47" t="s">
        <v>630</v>
      </c>
      <c r="J52" s="47" t="s">
        <v>2026</v>
      </c>
      <c r="K52" s="72" t="s">
        <v>2027</v>
      </c>
      <c r="L52" s="47" t="s">
        <v>2028</v>
      </c>
      <c r="M52" s="47" t="s">
        <v>2029</v>
      </c>
      <c r="N52" s="47" t="s">
        <v>1571</v>
      </c>
      <c r="O52" s="47" t="s">
        <v>1573</v>
      </c>
      <c r="P52" s="47" t="s">
        <v>1824</v>
      </c>
      <c r="Q52" s="47" t="s">
        <v>1626</v>
      </c>
      <c r="R52" s="47" t="s">
        <v>2030</v>
      </c>
      <c r="S52" s="47" t="s">
        <v>2031</v>
      </c>
      <c r="T52" s="47"/>
      <c r="U52" s="47"/>
      <c r="V52" s="47" t="s">
        <v>563</v>
      </c>
      <c r="W52" s="47" t="s">
        <v>564</v>
      </c>
      <c r="X52" s="73" t="s">
        <v>565</v>
      </c>
      <c r="Y52" s="74" t="s">
        <v>2032</v>
      </c>
      <c r="Z52" s="74" t="s">
        <v>2033</v>
      </c>
      <c r="AA52" s="47" t="s">
        <v>2034</v>
      </c>
      <c r="AB52" s="47"/>
      <c r="AC52" s="74"/>
      <c r="AD52" s="47" t="s">
        <v>2035</v>
      </c>
    </row>
    <row r="53" spans="1:30" s="82" customFormat="1" ht="103.5">
      <c r="A53" s="70">
        <f t="shared" si="0"/>
        <v>50</v>
      </c>
      <c r="B53" s="71" t="s">
        <v>566</v>
      </c>
      <c r="C53" s="47"/>
      <c r="D53" s="47" t="s">
        <v>2036</v>
      </c>
      <c r="E53" s="47">
        <v>2002</v>
      </c>
      <c r="F53" s="47" t="s">
        <v>11</v>
      </c>
      <c r="G53" s="47" t="s">
        <v>2037</v>
      </c>
      <c r="H53" s="47" t="s">
        <v>2038</v>
      </c>
      <c r="I53" s="47" t="s">
        <v>630</v>
      </c>
      <c r="J53" s="47" t="s">
        <v>2039</v>
      </c>
      <c r="K53" s="72" t="s">
        <v>2040</v>
      </c>
      <c r="L53" s="47" t="s">
        <v>2041</v>
      </c>
      <c r="M53" s="47" t="s">
        <v>2042</v>
      </c>
      <c r="N53" s="47" t="s">
        <v>1571</v>
      </c>
      <c r="O53" s="47" t="s">
        <v>1572</v>
      </c>
      <c r="P53" s="47" t="s">
        <v>2043</v>
      </c>
      <c r="Q53" s="47" t="s">
        <v>662</v>
      </c>
      <c r="R53" s="47" t="s">
        <v>2044</v>
      </c>
      <c r="S53" s="47" t="s">
        <v>653</v>
      </c>
      <c r="T53" s="47"/>
      <c r="U53" s="47"/>
      <c r="V53" s="47" t="s">
        <v>567</v>
      </c>
      <c r="W53" s="47" t="s">
        <v>570</v>
      </c>
      <c r="X53" s="73"/>
      <c r="Y53" s="74" t="s">
        <v>2045</v>
      </c>
      <c r="Z53" s="74" t="s">
        <v>2046</v>
      </c>
      <c r="AA53" s="47" t="s">
        <v>2047</v>
      </c>
      <c r="AB53" s="47"/>
      <c r="AC53" s="74"/>
      <c r="AD53" s="47" t="s">
        <v>2048</v>
      </c>
    </row>
    <row r="54" spans="1:30" s="82" customFormat="1" ht="189.75">
      <c r="A54" s="70">
        <f t="shared" si="0"/>
        <v>51</v>
      </c>
      <c r="B54" s="71" t="s">
        <v>2049</v>
      </c>
      <c r="C54" s="47" t="s">
        <v>568</v>
      </c>
      <c r="D54" s="47" t="s">
        <v>2050</v>
      </c>
      <c r="E54" s="47" t="s">
        <v>2051</v>
      </c>
      <c r="F54" s="47" t="s">
        <v>11</v>
      </c>
      <c r="G54" s="47" t="s">
        <v>2037</v>
      </c>
      <c r="H54" s="47" t="s">
        <v>2052</v>
      </c>
      <c r="I54" s="47" t="s">
        <v>630</v>
      </c>
      <c r="J54" s="47" t="s">
        <v>2053</v>
      </c>
      <c r="K54" s="72" t="s">
        <v>2054</v>
      </c>
      <c r="L54" s="47" t="s">
        <v>2055</v>
      </c>
      <c r="M54" s="47" t="s">
        <v>2056</v>
      </c>
      <c r="N54" s="47" t="s">
        <v>1571</v>
      </c>
      <c r="O54" s="47" t="s">
        <v>1572</v>
      </c>
      <c r="P54" s="47" t="s">
        <v>634</v>
      </c>
      <c r="Q54" s="47" t="s">
        <v>1600</v>
      </c>
      <c r="R54" s="47" t="s">
        <v>2057</v>
      </c>
      <c r="S54" s="47" t="s">
        <v>2058</v>
      </c>
      <c r="T54" s="47" t="s">
        <v>2059</v>
      </c>
      <c r="U54" s="47" t="s">
        <v>2060</v>
      </c>
      <c r="V54" s="75" t="s">
        <v>569</v>
      </c>
      <c r="W54" s="75" t="s">
        <v>571</v>
      </c>
      <c r="X54" s="73"/>
      <c r="Y54" s="74" t="s">
        <v>2061</v>
      </c>
      <c r="Z54" s="74" t="s">
        <v>2062</v>
      </c>
      <c r="AA54" s="47" t="s">
        <v>2063</v>
      </c>
      <c r="AB54" s="47"/>
      <c r="AC54" s="74"/>
      <c r="AD54" s="47" t="s">
        <v>2064</v>
      </c>
    </row>
    <row r="55" spans="1:30" s="82" customFormat="1" ht="138">
      <c r="A55" s="70">
        <f t="shared" si="0"/>
        <v>52</v>
      </c>
      <c r="B55" s="71" t="s">
        <v>302</v>
      </c>
      <c r="C55" s="47" t="s">
        <v>572</v>
      </c>
      <c r="D55" s="47" t="s">
        <v>2065</v>
      </c>
      <c r="E55" s="47" t="s">
        <v>2066</v>
      </c>
      <c r="F55" s="47" t="s">
        <v>8</v>
      </c>
      <c r="G55" s="47" t="s">
        <v>2067</v>
      </c>
      <c r="H55" s="47" t="s">
        <v>2068</v>
      </c>
      <c r="I55" s="47" t="s">
        <v>630</v>
      </c>
      <c r="J55" s="47"/>
      <c r="K55" s="72" t="s">
        <v>2069</v>
      </c>
      <c r="L55" s="47" t="s">
        <v>2070</v>
      </c>
      <c r="M55" s="47" t="s">
        <v>2071</v>
      </c>
      <c r="N55" s="47"/>
      <c r="O55" s="47"/>
      <c r="P55" s="47"/>
      <c r="Q55" s="47"/>
      <c r="R55" s="47"/>
      <c r="S55" s="47"/>
      <c r="T55" s="47"/>
      <c r="U55" s="47"/>
      <c r="V55" s="47"/>
      <c r="W55" s="47"/>
      <c r="X55" s="73"/>
      <c r="Y55" s="74"/>
      <c r="Z55" s="74"/>
      <c r="AA55" s="47"/>
      <c r="AB55" s="47"/>
      <c r="AC55" s="74"/>
      <c r="AD55" s="47" t="s">
        <v>2072</v>
      </c>
    </row>
    <row r="56" spans="1:30" s="82" customFormat="1" ht="138">
      <c r="A56" s="70">
        <f t="shared" si="0"/>
        <v>53</v>
      </c>
      <c r="B56" s="71" t="s">
        <v>573</v>
      </c>
      <c r="C56" s="47" t="s">
        <v>574</v>
      </c>
      <c r="D56" s="47" t="s">
        <v>2073</v>
      </c>
      <c r="E56" s="47">
        <v>1950</v>
      </c>
      <c r="F56" s="47" t="s">
        <v>8</v>
      </c>
      <c r="G56" s="47" t="s">
        <v>2074</v>
      </c>
      <c r="H56" s="47" t="s">
        <v>2075</v>
      </c>
      <c r="I56" s="47" t="s">
        <v>630</v>
      </c>
      <c r="J56" s="47" t="s">
        <v>2076</v>
      </c>
      <c r="K56" s="72" t="s">
        <v>2077</v>
      </c>
      <c r="L56" s="47" t="s">
        <v>2078</v>
      </c>
      <c r="M56" s="47" t="s">
        <v>2079</v>
      </c>
      <c r="N56" s="47" t="s">
        <v>1612</v>
      </c>
      <c r="O56" s="47" t="s">
        <v>1573</v>
      </c>
      <c r="P56" s="47" t="s">
        <v>2080</v>
      </c>
      <c r="Q56" s="47" t="s">
        <v>1574</v>
      </c>
      <c r="R56" s="47" t="s">
        <v>1588</v>
      </c>
      <c r="S56" s="47" t="s">
        <v>2081</v>
      </c>
      <c r="T56" s="47"/>
      <c r="U56" s="47"/>
      <c r="V56" s="47" t="s">
        <v>575</v>
      </c>
      <c r="W56" s="47" t="s">
        <v>576</v>
      </c>
      <c r="X56" s="73"/>
      <c r="Y56" s="74" t="s">
        <v>2082</v>
      </c>
      <c r="Z56" s="74" t="s">
        <v>2083</v>
      </c>
      <c r="AA56" s="47" t="s">
        <v>2084</v>
      </c>
      <c r="AB56" s="47"/>
      <c r="AC56" s="74"/>
      <c r="AD56" s="47" t="s">
        <v>2085</v>
      </c>
    </row>
    <row r="57" spans="1:30" s="82" customFormat="1" ht="125.25" customHeight="1">
      <c r="A57" s="70">
        <f t="shared" si="0"/>
        <v>54</v>
      </c>
      <c r="B57" s="71" t="s">
        <v>616</v>
      </c>
      <c r="C57" s="47" t="s">
        <v>617</v>
      </c>
      <c r="D57" s="47" t="s">
        <v>2086</v>
      </c>
      <c r="E57" s="47">
        <v>1970</v>
      </c>
      <c r="F57" s="47" t="s">
        <v>7</v>
      </c>
      <c r="G57" s="47" t="s">
        <v>2087</v>
      </c>
      <c r="H57" s="47" t="s">
        <v>2088</v>
      </c>
      <c r="I57" s="47" t="s">
        <v>630</v>
      </c>
      <c r="J57" s="47" t="s">
        <v>647</v>
      </c>
      <c r="K57" s="72" t="s">
        <v>2089</v>
      </c>
      <c r="L57" s="47" t="s">
        <v>2088</v>
      </c>
      <c r="M57" s="47" t="s">
        <v>2090</v>
      </c>
      <c r="N57" s="47" t="s">
        <v>632</v>
      </c>
      <c r="O57" s="47" t="s">
        <v>1044</v>
      </c>
      <c r="P57" s="47" t="s">
        <v>2043</v>
      </c>
      <c r="Q57" s="47" t="s">
        <v>662</v>
      </c>
      <c r="R57" s="47" t="s">
        <v>636</v>
      </c>
      <c r="S57" s="47" t="s">
        <v>2031</v>
      </c>
      <c r="T57" s="47" t="s">
        <v>577</v>
      </c>
      <c r="U57" s="47" t="s">
        <v>578</v>
      </c>
      <c r="V57" s="47" t="s">
        <v>579</v>
      </c>
      <c r="W57" s="47" t="s">
        <v>580</v>
      </c>
      <c r="X57" s="73" t="s">
        <v>581</v>
      </c>
      <c r="Y57" s="74" t="s">
        <v>2091</v>
      </c>
      <c r="Z57" s="74" t="s">
        <v>2092</v>
      </c>
      <c r="AA57" s="47" t="s">
        <v>2093</v>
      </c>
      <c r="AB57" s="47" t="s">
        <v>2094</v>
      </c>
      <c r="AC57" s="74" t="s">
        <v>2095</v>
      </c>
      <c r="AD57" s="47" t="s">
        <v>2096</v>
      </c>
    </row>
    <row r="58" spans="1:30" s="82" customFormat="1" ht="125.25" customHeight="1">
      <c r="A58" s="70">
        <f t="shared" si="0"/>
        <v>55</v>
      </c>
      <c r="B58" s="71" t="s">
        <v>618</v>
      </c>
      <c r="C58" s="47" t="s">
        <v>618</v>
      </c>
      <c r="D58" s="47" t="s">
        <v>2097</v>
      </c>
      <c r="E58" s="47">
        <v>1990</v>
      </c>
      <c r="F58" s="47" t="s">
        <v>7</v>
      </c>
      <c r="G58" s="47" t="s">
        <v>2098</v>
      </c>
      <c r="H58" s="47" t="s">
        <v>2099</v>
      </c>
      <c r="I58" s="47" t="s">
        <v>842</v>
      </c>
      <c r="J58" s="47" t="s">
        <v>647</v>
      </c>
      <c r="K58" s="72" t="s">
        <v>2100</v>
      </c>
      <c r="L58" s="47" t="s">
        <v>2101</v>
      </c>
      <c r="M58" s="47" t="s">
        <v>2102</v>
      </c>
      <c r="N58" s="47" t="s">
        <v>769</v>
      </c>
      <c r="O58" s="47" t="s">
        <v>679</v>
      </c>
      <c r="P58" s="47" t="s">
        <v>2043</v>
      </c>
      <c r="Q58" s="47" t="s">
        <v>662</v>
      </c>
      <c r="R58" s="47" t="s">
        <v>636</v>
      </c>
      <c r="S58" s="47" t="s">
        <v>680</v>
      </c>
      <c r="T58" s="47" t="s">
        <v>582</v>
      </c>
      <c r="U58" s="47" t="s">
        <v>582</v>
      </c>
      <c r="V58" s="47" t="s">
        <v>583</v>
      </c>
      <c r="W58" s="47" t="s">
        <v>584</v>
      </c>
      <c r="X58" s="73" t="s">
        <v>585</v>
      </c>
      <c r="Y58" s="74" t="s">
        <v>2103</v>
      </c>
      <c r="Z58" s="74" t="s">
        <v>2104</v>
      </c>
      <c r="AA58" s="47" t="s">
        <v>2105</v>
      </c>
      <c r="AB58" s="47" t="s">
        <v>2094</v>
      </c>
      <c r="AC58" s="74" t="s">
        <v>2095</v>
      </c>
      <c r="AD58" s="47" t="s">
        <v>2096</v>
      </c>
    </row>
    <row r="59" spans="1:30" s="82" customFormat="1" ht="125.25" customHeight="1">
      <c r="A59" s="70">
        <f t="shared" si="0"/>
        <v>56</v>
      </c>
      <c r="B59" s="71" t="s">
        <v>619</v>
      </c>
      <c r="C59" s="47" t="s">
        <v>619</v>
      </c>
      <c r="D59" s="47" t="s">
        <v>2106</v>
      </c>
      <c r="E59" s="47">
        <v>1951</v>
      </c>
      <c r="F59" s="47" t="s">
        <v>7</v>
      </c>
      <c r="G59" s="47" t="s">
        <v>2098</v>
      </c>
      <c r="H59" s="47" t="s">
        <v>2099</v>
      </c>
      <c r="I59" s="47" t="s">
        <v>630</v>
      </c>
      <c r="J59" s="47" t="s">
        <v>647</v>
      </c>
      <c r="K59" s="72" t="s">
        <v>2107</v>
      </c>
      <c r="L59" s="47" t="s">
        <v>2099</v>
      </c>
      <c r="M59" s="47" t="s">
        <v>2108</v>
      </c>
      <c r="N59" s="47" t="s">
        <v>779</v>
      </c>
      <c r="O59" s="47" t="s">
        <v>679</v>
      </c>
      <c r="P59" s="47" t="s">
        <v>1986</v>
      </c>
      <c r="Q59" s="47" t="s">
        <v>636</v>
      </c>
      <c r="R59" s="47" t="s">
        <v>695</v>
      </c>
      <c r="S59" s="47" t="s">
        <v>662</v>
      </c>
      <c r="T59" s="47" t="s">
        <v>586</v>
      </c>
      <c r="U59" s="47" t="s">
        <v>587</v>
      </c>
      <c r="V59" s="47" t="s">
        <v>588</v>
      </c>
      <c r="W59" s="47" t="s">
        <v>589</v>
      </c>
      <c r="X59" s="73" t="s">
        <v>590</v>
      </c>
      <c r="Y59" s="74" t="s">
        <v>2109</v>
      </c>
      <c r="Z59" s="74" t="s">
        <v>2110</v>
      </c>
      <c r="AA59" s="47" t="s">
        <v>2111</v>
      </c>
      <c r="AB59" s="47" t="s">
        <v>2094</v>
      </c>
      <c r="AC59" s="74" t="s">
        <v>2095</v>
      </c>
      <c r="AD59" s="47" t="s">
        <v>2096</v>
      </c>
    </row>
    <row r="60" spans="1:30" s="82" customFormat="1" ht="125.25" customHeight="1">
      <c r="A60" s="70">
        <f t="shared" si="0"/>
        <v>57</v>
      </c>
      <c r="B60" s="71" t="s">
        <v>2</v>
      </c>
      <c r="C60" s="47" t="s">
        <v>620</v>
      </c>
      <c r="D60" s="47" t="s">
        <v>2112</v>
      </c>
      <c r="E60" s="47">
        <v>1998</v>
      </c>
      <c r="F60" s="47" t="s">
        <v>7</v>
      </c>
      <c r="G60" s="47" t="s">
        <v>2087</v>
      </c>
      <c r="H60" s="47" t="s">
        <v>2088</v>
      </c>
      <c r="I60" s="47" t="s">
        <v>842</v>
      </c>
      <c r="J60" s="47" t="s">
        <v>647</v>
      </c>
      <c r="K60" s="72" t="s">
        <v>2113</v>
      </c>
      <c r="L60" s="47" t="s">
        <v>2114</v>
      </c>
      <c r="M60" s="47" t="s">
        <v>2115</v>
      </c>
      <c r="N60" s="47" t="s">
        <v>632</v>
      </c>
      <c r="O60" s="47" t="s">
        <v>679</v>
      </c>
      <c r="P60" s="47" t="s">
        <v>1986</v>
      </c>
      <c r="Q60" s="47" t="s">
        <v>695</v>
      </c>
      <c r="R60" s="47" t="s">
        <v>662</v>
      </c>
      <c r="S60" s="47" t="s">
        <v>637</v>
      </c>
      <c r="T60" s="47" t="s">
        <v>591</v>
      </c>
      <c r="U60" s="47" t="s">
        <v>592</v>
      </c>
      <c r="V60" s="47" t="s">
        <v>593</v>
      </c>
      <c r="W60" s="47" t="s">
        <v>594</v>
      </c>
      <c r="X60" s="73" t="s">
        <v>595</v>
      </c>
      <c r="Y60" s="74" t="s">
        <v>2116</v>
      </c>
      <c r="Z60" s="74" t="s">
        <v>2117</v>
      </c>
      <c r="AA60" s="47" t="s">
        <v>2118</v>
      </c>
      <c r="AB60" s="47" t="s">
        <v>2094</v>
      </c>
      <c r="AC60" s="74" t="s">
        <v>2095</v>
      </c>
      <c r="AD60" s="47" t="s">
        <v>2096</v>
      </c>
    </row>
    <row r="61" spans="1:30" s="82" customFormat="1" ht="125.25" customHeight="1">
      <c r="A61" s="70">
        <f t="shared" si="0"/>
        <v>58</v>
      </c>
      <c r="B61" s="71" t="s">
        <v>621</v>
      </c>
      <c r="C61" s="47" t="s">
        <v>622</v>
      </c>
      <c r="D61" s="47" t="s">
        <v>2119</v>
      </c>
      <c r="E61" s="47">
        <v>2004</v>
      </c>
      <c r="F61" s="47" t="s">
        <v>7</v>
      </c>
      <c r="G61" s="47" t="s">
        <v>2087</v>
      </c>
      <c r="H61" s="47" t="s">
        <v>2088</v>
      </c>
      <c r="I61" s="47" t="s">
        <v>630</v>
      </c>
      <c r="J61" s="47" t="s">
        <v>2120</v>
      </c>
      <c r="K61" s="72" t="s">
        <v>2121</v>
      </c>
      <c r="L61" s="47" t="s">
        <v>2122</v>
      </c>
      <c r="M61" s="47" t="s">
        <v>1900</v>
      </c>
      <c r="N61" s="47" t="s">
        <v>721</v>
      </c>
      <c r="O61" s="47" t="s">
        <v>2123</v>
      </c>
      <c r="P61" s="47" t="s">
        <v>2124</v>
      </c>
      <c r="Q61" s="47" t="s">
        <v>662</v>
      </c>
      <c r="R61" s="47" t="s">
        <v>653</v>
      </c>
      <c r="S61" s="47" t="s">
        <v>2057</v>
      </c>
      <c r="T61" s="47" t="s">
        <v>596</v>
      </c>
      <c r="U61" s="47" t="s">
        <v>597</v>
      </c>
      <c r="V61" s="47" t="s">
        <v>598</v>
      </c>
      <c r="W61" s="47" t="s">
        <v>599</v>
      </c>
      <c r="X61" s="73" t="s">
        <v>600</v>
      </c>
      <c r="Y61" s="74" t="s">
        <v>2125</v>
      </c>
      <c r="Z61" s="74" t="s">
        <v>2126</v>
      </c>
      <c r="AA61" s="47" t="s">
        <v>2127</v>
      </c>
      <c r="AB61" s="47" t="s">
        <v>2094</v>
      </c>
      <c r="AC61" s="74" t="s">
        <v>2095</v>
      </c>
      <c r="AD61" s="47" t="s">
        <v>2096</v>
      </c>
    </row>
    <row r="62" spans="1:30" s="82" customFormat="1" ht="125.25" customHeight="1">
      <c r="A62" s="70">
        <f t="shared" si="0"/>
        <v>59</v>
      </c>
      <c r="B62" s="71" t="s">
        <v>623</v>
      </c>
      <c r="C62" s="47" t="s">
        <v>623</v>
      </c>
      <c r="D62" s="47" t="s">
        <v>2128</v>
      </c>
      <c r="E62" s="47">
        <v>1997</v>
      </c>
      <c r="F62" s="47" t="s">
        <v>7</v>
      </c>
      <c r="G62" s="47" t="s">
        <v>2087</v>
      </c>
      <c r="H62" s="47" t="s">
        <v>2088</v>
      </c>
      <c r="I62" s="47" t="s">
        <v>842</v>
      </c>
      <c r="J62" s="47" t="s">
        <v>2129</v>
      </c>
      <c r="K62" s="72" t="s">
        <v>2130</v>
      </c>
      <c r="L62" s="47" t="s">
        <v>2131</v>
      </c>
      <c r="M62" s="47" t="s">
        <v>2132</v>
      </c>
      <c r="N62" s="47" t="s">
        <v>632</v>
      </c>
      <c r="O62" s="47" t="s">
        <v>634</v>
      </c>
      <c r="P62" s="47" t="s">
        <v>1878</v>
      </c>
      <c r="Q62" s="47" t="s">
        <v>652</v>
      </c>
      <c r="R62" s="47" t="s">
        <v>635</v>
      </c>
      <c r="S62" s="47" t="s">
        <v>1940</v>
      </c>
      <c r="T62" s="47" t="s">
        <v>582</v>
      </c>
      <c r="U62" s="47" t="s">
        <v>582</v>
      </c>
      <c r="V62" s="47" t="s">
        <v>601</v>
      </c>
      <c r="W62" s="47" t="s">
        <v>602</v>
      </c>
      <c r="X62" s="73" t="s">
        <v>603</v>
      </c>
      <c r="Y62" s="74" t="s">
        <v>2133</v>
      </c>
      <c r="Z62" s="74" t="s">
        <v>2134</v>
      </c>
      <c r="AA62" s="47" t="s">
        <v>2135</v>
      </c>
      <c r="AB62" s="47" t="s">
        <v>2094</v>
      </c>
      <c r="AC62" s="74" t="s">
        <v>2095</v>
      </c>
      <c r="AD62" s="47" t="s">
        <v>2096</v>
      </c>
    </row>
    <row r="63" spans="1:30" s="82" customFormat="1" ht="125.25" customHeight="1">
      <c r="A63" s="70">
        <f t="shared" si="0"/>
        <v>60</v>
      </c>
      <c r="B63" s="71" t="s">
        <v>624</v>
      </c>
      <c r="C63" s="47" t="s">
        <v>625</v>
      </c>
      <c r="D63" s="47" t="s">
        <v>2136</v>
      </c>
      <c r="E63" s="47">
        <v>1976</v>
      </c>
      <c r="F63" s="47" t="s">
        <v>7</v>
      </c>
      <c r="G63" s="47" t="s">
        <v>2087</v>
      </c>
      <c r="H63" s="47" t="s">
        <v>2088</v>
      </c>
      <c r="I63" s="47" t="s">
        <v>842</v>
      </c>
      <c r="J63" s="47" t="s">
        <v>2099</v>
      </c>
      <c r="K63" s="72" t="s">
        <v>2137</v>
      </c>
      <c r="L63" s="47" t="s">
        <v>2138</v>
      </c>
      <c r="M63" s="47" t="s">
        <v>2139</v>
      </c>
      <c r="N63" s="47" t="s">
        <v>632</v>
      </c>
      <c r="O63" s="47" t="s">
        <v>1044</v>
      </c>
      <c r="P63" s="47" t="s">
        <v>821</v>
      </c>
      <c r="Q63" s="47" t="s">
        <v>636</v>
      </c>
      <c r="R63" s="47" t="s">
        <v>680</v>
      </c>
      <c r="S63" s="47" t="s">
        <v>865</v>
      </c>
      <c r="T63" s="47" t="s">
        <v>604</v>
      </c>
      <c r="U63" s="47" t="s">
        <v>578</v>
      </c>
      <c r="V63" s="47" t="s">
        <v>605</v>
      </c>
      <c r="W63" s="47" t="s">
        <v>606</v>
      </c>
      <c r="X63" s="73" t="s">
        <v>607</v>
      </c>
      <c r="Y63" s="74" t="s">
        <v>2140</v>
      </c>
      <c r="Z63" s="74" t="s">
        <v>2141</v>
      </c>
      <c r="AA63" s="47" t="s">
        <v>2142</v>
      </c>
      <c r="AB63" s="47" t="s">
        <v>2094</v>
      </c>
      <c r="AC63" s="74" t="s">
        <v>2095</v>
      </c>
      <c r="AD63" s="47" t="s">
        <v>2096</v>
      </c>
    </row>
    <row r="64" spans="1:30" s="82" customFormat="1" ht="125.25" customHeight="1">
      <c r="A64" s="70">
        <f t="shared" si="0"/>
        <v>61</v>
      </c>
      <c r="B64" s="71" t="s">
        <v>626</v>
      </c>
      <c r="C64" s="47" t="s">
        <v>627</v>
      </c>
      <c r="D64" s="47" t="s">
        <v>2143</v>
      </c>
      <c r="E64" s="47">
        <v>2001</v>
      </c>
      <c r="F64" s="47" t="s">
        <v>7</v>
      </c>
      <c r="G64" s="47" t="s">
        <v>2087</v>
      </c>
      <c r="H64" s="47" t="s">
        <v>2088</v>
      </c>
      <c r="I64" s="47" t="s">
        <v>842</v>
      </c>
      <c r="J64" s="47" t="s">
        <v>647</v>
      </c>
      <c r="K64" s="72" t="s">
        <v>2144</v>
      </c>
      <c r="L64" s="47" t="s">
        <v>2145</v>
      </c>
      <c r="M64" s="47" t="s">
        <v>2146</v>
      </c>
      <c r="N64" s="47" t="s">
        <v>769</v>
      </c>
      <c r="O64" s="47" t="s">
        <v>679</v>
      </c>
      <c r="P64" s="47" t="s">
        <v>2124</v>
      </c>
      <c r="Q64" s="47" t="s">
        <v>652</v>
      </c>
      <c r="R64" s="47" t="s">
        <v>662</v>
      </c>
      <c r="S64" s="47" t="s">
        <v>636</v>
      </c>
      <c r="T64" s="47" t="s">
        <v>608</v>
      </c>
      <c r="U64" s="47" t="s">
        <v>609</v>
      </c>
      <c r="V64" s="47" t="s">
        <v>610</v>
      </c>
      <c r="W64" s="47" t="s">
        <v>611</v>
      </c>
      <c r="X64" s="73" t="s">
        <v>612</v>
      </c>
      <c r="Y64" s="74" t="s">
        <v>2147</v>
      </c>
      <c r="Z64" s="74" t="s">
        <v>2148</v>
      </c>
      <c r="AA64" s="47" t="s">
        <v>2149</v>
      </c>
      <c r="AB64" s="47" t="s">
        <v>2094</v>
      </c>
      <c r="AC64" s="74" t="s">
        <v>2095</v>
      </c>
      <c r="AD64" s="47" t="s">
        <v>2096</v>
      </c>
    </row>
    <row r="65" spans="1:30" s="82" customFormat="1" ht="125.25" customHeight="1">
      <c r="A65" s="70">
        <f t="shared" si="0"/>
        <v>62</v>
      </c>
      <c r="B65" s="71" t="s">
        <v>628</v>
      </c>
      <c r="C65" s="47" t="s">
        <v>629</v>
      </c>
      <c r="D65" s="47" t="s">
        <v>2150</v>
      </c>
      <c r="E65" s="47">
        <v>1962</v>
      </c>
      <c r="F65" s="47" t="s">
        <v>7</v>
      </c>
      <c r="G65" s="47" t="s">
        <v>2087</v>
      </c>
      <c r="H65" s="47" t="s">
        <v>2088</v>
      </c>
      <c r="I65" s="47" t="s">
        <v>842</v>
      </c>
      <c r="J65" s="47" t="s">
        <v>2099</v>
      </c>
      <c r="K65" s="72" t="s">
        <v>2151</v>
      </c>
      <c r="L65" s="47" t="s">
        <v>2152</v>
      </c>
      <c r="M65" s="47" t="s">
        <v>2153</v>
      </c>
      <c r="N65" s="47" t="s">
        <v>779</v>
      </c>
      <c r="O65" s="47" t="s">
        <v>679</v>
      </c>
      <c r="P65" s="47" t="s">
        <v>821</v>
      </c>
      <c r="Q65" s="47" t="s">
        <v>865</v>
      </c>
      <c r="R65" s="47" t="s">
        <v>636</v>
      </c>
      <c r="S65" s="47" t="s">
        <v>1974</v>
      </c>
      <c r="T65" s="47" t="s">
        <v>604</v>
      </c>
      <c r="U65" s="47" t="s">
        <v>578</v>
      </c>
      <c r="V65" s="47" t="s">
        <v>613</v>
      </c>
      <c r="W65" s="47" t="s">
        <v>614</v>
      </c>
      <c r="X65" s="73" t="s">
        <v>615</v>
      </c>
      <c r="Y65" s="74" t="s">
        <v>2154</v>
      </c>
      <c r="Z65" s="74" t="s">
        <v>2155</v>
      </c>
      <c r="AA65" s="47" t="s">
        <v>2156</v>
      </c>
      <c r="AB65" s="47" t="s">
        <v>2094</v>
      </c>
      <c r="AC65" s="74" t="s">
        <v>2095</v>
      </c>
      <c r="AD65" s="47" t="s">
        <v>2096</v>
      </c>
    </row>
    <row r="66" spans="1:30" s="76" customFormat="1" ht="125.25" customHeight="1">
      <c r="A66" s="70">
        <f t="shared" si="0"/>
        <v>63</v>
      </c>
      <c r="B66" s="71" t="s">
        <v>643</v>
      </c>
      <c r="C66" s="47" t="s">
        <v>644</v>
      </c>
      <c r="D66" s="47" t="s">
        <v>645</v>
      </c>
      <c r="E66" s="47">
        <v>1979</v>
      </c>
      <c r="F66" s="47" t="s">
        <v>7</v>
      </c>
      <c r="G66" s="47" t="s">
        <v>646</v>
      </c>
      <c r="H66" s="47" t="s">
        <v>2157</v>
      </c>
      <c r="I66" s="47" t="s">
        <v>630</v>
      </c>
      <c r="J66" s="47" t="s">
        <v>647</v>
      </c>
      <c r="K66" s="72" t="s">
        <v>2158</v>
      </c>
      <c r="L66" s="47" t="s">
        <v>202</v>
      </c>
      <c r="M66" s="47" t="s">
        <v>647</v>
      </c>
      <c r="N66" s="47" t="s">
        <v>632</v>
      </c>
      <c r="O66" s="47" t="s">
        <v>633</v>
      </c>
      <c r="P66" s="47" t="s">
        <v>634</v>
      </c>
      <c r="Q66" s="47" t="s">
        <v>635</v>
      </c>
      <c r="R66" s="47" t="s">
        <v>636</v>
      </c>
      <c r="S66" s="47" t="s">
        <v>637</v>
      </c>
      <c r="T66" s="47" t="s">
        <v>582</v>
      </c>
      <c r="U66" s="47" t="s">
        <v>582</v>
      </c>
      <c r="V66" s="47" t="s">
        <v>638</v>
      </c>
      <c r="W66" s="47" t="s">
        <v>639</v>
      </c>
      <c r="X66" s="73" t="s">
        <v>640</v>
      </c>
      <c r="Y66" s="74" t="s">
        <v>2159</v>
      </c>
      <c r="Z66" s="74" t="s">
        <v>2160</v>
      </c>
      <c r="AA66" s="47" t="s">
        <v>2161</v>
      </c>
      <c r="AB66" s="47" t="s">
        <v>641</v>
      </c>
      <c r="AC66" s="74" t="s">
        <v>642</v>
      </c>
      <c r="AD66" s="47" t="s">
        <v>2162</v>
      </c>
    </row>
    <row r="67" spans="1:30" s="82" customFormat="1" ht="125.25" customHeight="1">
      <c r="A67" s="70">
        <f t="shared" si="0"/>
        <v>64</v>
      </c>
      <c r="B67" s="71" t="s">
        <v>648</v>
      </c>
      <c r="C67" s="47" t="s">
        <v>649</v>
      </c>
      <c r="D67" s="47" t="s">
        <v>650</v>
      </c>
      <c r="E67" s="47">
        <v>1990</v>
      </c>
      <c r="F67" s="47" t="s">
        <v>7</v>
      </c>
      <c r="G67" s="47" t="s">
        <v>43</v>
      </c>
      <c r="H67" s="47" t="s">
        <v>2163</v>
      </c>
      <c r="I67" s="47" t="s">
        <v>630</v>
      </c>
      <c r="J67" s="47" t="s">
        <v>651</v>
      </c>
      <c r="K67" s="72" t="s">
        <v>2164</v>
      </c>
      <c r="L67" s="47" t="s">
        <v>7</v>
      </c>
      <c r="M67" s="47" t="s">
        <v>647</v>
      </c>
      <c r="N67" s="47" t="s">
        <v>632</v>
      </c>
      <c r="O67" s="47" t="s">
        <v>633</v>
      </c>
      <c r="P67" s="47" t="s">
        <v>2165</v>
      </c>
      <c r="Q67" s="47" t="s">
        <v>635</v>
      </c>
      <c r="R67" s="47" t="s">
        <v>652</v>
      </c>
      <c r="S67" s="47" t="s">
        <v>653</v>
      </c>
      <c r="T67" s="47" t="s">
        <v>631</v>
      </c>
      <c r="U67" s="47" t="s">
        <v>631</v>
      </c>
      <c r="V67" s="47" t="s">
        <v>654</v>
      </c>
      <c r="W67" s="47" t="s">
        <v>655</v>
      </c>
      <c r="X67" s="73" t="s">
        <v>656</v>
      </c>
      <c r="Y67" s="74" t="s">
        <v>2166</v>
      </c>
      <c r="Z67" s="74" t="s">
        <v>2167</v>
      </c>
      <c r="AA67" s="47" t="s">
        <v>657</v>
      </c>
      <c r="AB67" s="47" t="s">
        <v>641</v>
      </c>
      <c r="AC67" s="74" t="s">
        <v>642</v>
      </c>
      <c r="AD67" s="47" t="s">
        <v>2168</v>
      </c>
    </row>
    <row r="68" spans="1:30" s="82" customFormat="1" ht="125.25" customHeight="1">
      <c r="A68" s="70">
        <f t="shared" si="0"/>
        <v>65</v>
      </c>
      <c r="B68" s="71" t="s">
        <v>658</v>
      </c>
      <c r="C68" s="47" t="s">
        <v>659</v>
      </c>
      <c r="D68" s="47" t="s">
        <v>660</v>
      </c>
      <c r="E68" s="47">
        <v>2000</v>
      </c>
      <c r="F68" s="47" t="s">
        <v>7</v>
      </c>
      <c r="G68" s="47" t="s">
        <v>27</v>
      </c>
      <c r="H68" s="47" t="s">
        <v>661</v>
      </c>
      <c r="I68" s="47" t="s">
        <v>630</v>
      </c>
      <c r="J68" s="47" t="s">
        <v>631</v>
      </c>
      <c r="K68" s="72" t="s">
        <v>2169</v>
      </c>
      <c r="L68" s="47" t="s">
        <v>7</v>
      </c>
      <c r="M68" s="47" t="s">
        <v>647</v>
      </c>
      <c r="N68" s="47" t="s">
        <v>632</v>
      </c>
      <c r="O68" s="47" t="s">
        <v>633</v>
      </c>
      <c r="P68" s="47" t="s">
        <v>2170</v>
      </c>
      <c r="Q68" s="47" t="s">
        <v>653</v>
      </c>
      <c r="R68" s="47" t="s">
        <v>636</v>
      </c>
      <c r="S68" s="47" t="s">
        <v>662</v>
      </c>
      <c r="T68" s="47" t="s">
        <v>631</v>
      </c>
      <c r="U68" s="47" t="s">
        <v>631</v>
      </c>
      <c r="V68" s="47" t="s">
        <v>631</v>
      </c>
      <c r="W68" s="47" t="s">
        <v>663</v>
      </c>
      <c r="X68" s="73" t="s">
        <v>631</v>
      </c>
      <c r="Y68" s="74" t="s">
        <v>631</v>
      </c>
      <c r="Z68" s="74" t="s">
        <v>664</v>
      </c>
      <c r="AA68" s="47" t="s">
        <v>665</v>
      </c>
      <c r="AB68" s="47" t="s">
        <v>641</v>
      </c>
      <c r="AC68" s="74" t="s">
        <v>642</v>
      </c>
      <c r="AD68" s="47" t="s">
        <v>666</v>
      </c>
    </row>
    <row r="69" spans="1:30" s="82" customFormat="1" ht="125.25" customHeight="1">
      <c r="A69" s="70">
        <f t="shared" si="0"/>
        <v>66</v>
      </c>
      <c r="B69" s="71" t="s">
        <v>667</v>
      </c>
      <c r="C69" s="47" t="s">
        <v>668</v>
      </c>
      <c r="D69" s="47" t="s">
        <v>669</v>
      </c>
      <c r="E69" s="47">
        <v>1996</v>
      </c>
      <c r="F69" s="47" t="s">
        <v>7</v>
      </c>
      <c r="G69" s="47" t="s">
        <v>35</v>
      </c>
      <c r="H69" s="47" t="s">
        <v>2171</v>
      </c>
      <c r="I69" s="47" t="s">
        <v>630</v>
      </c>
      <c r="J69" s="47" t="s">
        <v>670</v>
      </c>
      <c r="K69" s="72" t="s">
        <v>2172</v>
      </c>
      <c r="L69" s="47" t="s">
        <v>7</v>
      </c>
      <c r="M69" s="47" t="s">
        <v>647</v>
      </c>
      <c r="N69" s="47" t="s">
        <v>632</v>
      </c>
      <c r="O69" s="47" t="s">
        <v>633</v>
      </c>
      <c r="P69" s="47" t="s">
        <v>634</v>
      </c>
      <c r="Q69" s="47" t="s">
        <v>637</v>
      </c>
      <c r="R69" s="47" t="s">
        <v>636</v>
      </c>
      <c r="S69" s="47" t="s">
        <v>653</v>
      </c>
      <c r="T69" s="47" t="s">
        <v>631</v>
      </c>
      <c r="U69" s="47" t="s">
        <v>631</v>
      </c>
      <c r="V69" s="47" t="s">
        <v>631</v>
      </c>
      <c r="W69" s="47" t="s">
        <v>671</v>
      </c>
      <c r="X69" s="73" t="s">
        <v>631</v>
      </c>
      <c r="Y69" s="74" t="s">
        <v>2173</v>
      </c>
      <c r="Z69" s="74" t="s">
        <v>2174</v>
      </c>
      <c r="AA69" s="47" t="s">
        <v>672</v>
      </c>
      <c r="AB69" s="47" t="s">
        <v>641</v>
      </c>
      <c r="AC69" s="74" t="s">
        <v>642</v>
      </c>
      <c r="AD69" s="47" t="s">
        <v>673</v>
      </c>
    </row>
    <row r="70" spans="1:30" s="82" customFormat="1" ht="125.25" customHeight="1">
      <c r="A70" s="70">
        <f t="shared" ref="A70:A133" si="1">ROW()-3</f>
        <v>67</v>
      </c>
      <c r="B70" s="71" t="s">
        <v>674</v>
      </c>
      <c r="C70" s="47" t="s">
        <v>675</v>
      </c>
      <c r="D70" s="47" t="s">
        <v>676</v>
      </c>
      <c r="E70" s="47">
        <v>1992</v>
      </c>
      <c r="F70" s="47" t="s">
        <v>7</v>
      </c>
      <c r="G70" s="47" t="s">
        <v>29</v>
      </c>
      <c r="H70" s="47" t="s">
        <v>2175</v>
      </c>
      <c r="I70" s="47" t="s">
        <v>630</v>
      </c>
      <c r="J70" s="47" t="s">
        <v>677</v>
      </c>
      <c r="K70" s="72" t="s">
        <v>678</v>
      </c>
      <c r="L70" s="47" t="s">
        <v>7</v>
      </c>
      <c r="M70" s="47" t="s">
        <v>631</v>
      </c>
      <c r="N70" s="47" t="s">
        <v>632</v>
      </c>
      <c r="O70" s="47" t="s">
        <v>679</v>
      </c>
      <c r="P70" s="47" t="s">
        <v>2176</v>
      </c>
      <c r="Q70" s="47" t="s">
        <v>662</v>
      </c>
      <c r="R70" s="47" t="s">
        <v>636</v>
      </c>
      <c r="S70" s="47" t="s">
        <v>680</v>
      </c>
      <c r="T70" s="47" t="s">
        <v>631</v>
      </c>
      <c r="U70" s="47" t="s">
        <v>631</v>
      </c>
      <c r="V70" s="47" t="s">
        <v>681</v>
      </c>
      <c r="W70" s="47" t="s">
        <v>682</v>
      </c>
      <c r="X70" s="73" t="s">
        <v>631</v>
      </c>
      <c r="Y70" s="74" t="s">
        <v>2177</v>
      </c>
      <c r="Z70" s="74" t="s">
        <v>2178</v>
      </c>
      <c r="AA70" s="47" t="s">
        <v>683</v>
      </c>
      <c r="AB70" s="47" t="s">
        <v>641</v>
      </c>
      <c r="AC70" s="74" t="s">
        <v>642</v>
      </c>
      <c r="AD70" s="47" t="s">
        <v>2179</v>
      </c>
    </row>
    <row r="71" spans="1:30" s="82" customFormat="1" ht="125.25" customHeight="1">
      <c r="A71" s="70">
        <f t="shared" si="1"/>
        <v>68</v>
      </c>
      <c r="B71" s="71" t="s">
        <v>684</v>
      </c>
      <c r="C71" s="47" t="s">
        <v>685</v>
      </c>
      <c r="D71" s="47" t="s">
        <v>686</v>
      </c>
      <c r="E71" s="47">
        <v>1989</v>
      </c>
      <c r="F71" s="47" t="s">
        <v>7</v>
      </c>
      <c r="G71" s="47" t="s">
        <v>24</v>
      </c>
      <c r="H71" s="47" t="s">
        <v>2180</v>
      </c>
      <c r="I71" s="47" t="s">
        <v>630</v>
      </c>
      <c r="J71" s="47" t="s">
        <v>687</v>
      </c>
      <c r="K71" s="72" t="s">
        <v>2181</v>
      </c>
      <c r="L71" s="47" t="s">
        <v>7</v>
      </c>
      <c r="M71" s="47" t="s">
        <v>631</v>
      </c>
      <c r="N71" s="47" t="s">
        <v>632</v>
      </c>
      <c r="O71" s="47" t="s">
        <v>679</v>
      </c>
      <c r="P71" s="47" t="s">
        <v>634</v>
      </c>
      <c r="Q71" s="47" t="s">
        <v>652</v>
      </c>
      <c r="R71" s="47" t="s">
        <v>636</v>
      </c>
      <c r="S71" s="47" t="s">
        <v>637</v>
      </c>
      <c r="T71" s="47" t="s">
        <v>631</v>
      </c>
      <c r="U71" s="47" t="s">
        <v>631</v>
      </c>
      <c r="V71" s="47" t="s">
        <v>688</v>
      </c>
      <c r="W71" s="47" t="s">
        <v>689</v>
      </c>
      <c r="X71" s="73" t="s">
        <v>631</v>
      </c>
      <c r="Y71" s="74" t="s">
        <v>2182</v>
      </c>
      <c r="Z71" s="74" t="s">
        <v>690</v>
      </c>
      <c r="AA71" s="47" t="s">
        <v>683</v>
      </c>
      <c r="AB71" s="47" t="s">
        <v>641</v>
      </c>
      <c r="AC71" s="74" t="s">
        <v>642</v>
      </c>
      <c r="AD71" s="47" t="s">
        <v>691</v>
      </c>
    </row>
    <row r="72" spans="1:30" s="82" customFormat="1" ht="125.25" customHeight="1">
      <c r="A72" s="70">
        <f t="shared" si="1"/>
        <v>69</v>
      </c>
      <c r="B72" s="71" t="s">
        <v>692</v>
      </c>
      <c r="C72" s="47" t="s">
        <v>692</v>
      </c>
      <c r="D72" s="47" t="s">
        <v>693</v>
      </c>
      <c r="E72" s="47">
        <v>2002</v>
      </c>
      <c r="F72" s="47" t="s">
        <v>7</v>
      </c>
      <c r="G72" s="47" t="s">
        <v>24</v>
      </c>
      <c r="H72" s="47" t="s">
        <v>2183</v>
      </c>
      <c r="I72" s="47" t="s">
        <v>630</v>
      </c>
      <c r="J72" s="47" t="s">
        <v>694</v>
      </c>
      <c r="K72" s="72" t="s">
        <v>2184</v>
      </c>
      <c r="L72" s="47" t="s">
        <v>7</v>
      </c>
      <c r="M72" s="47" t="s">
        <v>631</v>
      </c>
      <c r="N72" s="47" t="s">
        <v>632</v>
      </c>
      <c r="O72" s="47" t="s">
        <v>634</v>
      </c>
      <c r="P72" s="47" t="s">
        <v>2185</v>
      </c>
      <c r="Q72" s="47" t="s">
        <v>652</v>
      </c>
      <c r="R72" s="47" t="s">
        <v>695</v>
      </c>
      <c r="S72" s="47" t="s">
        <v>653</v>
      </c>
      <c r="T72" s="47" t="s">
        <v>631</v>
      </c>
      <c r="U72" s="47" t="s">
        <v>631</v>
      </c>
      <c r="V72" s="47" t="s">
        <v>696</v>
      </c>
      <c r="W72" s="47" t="s">
        <v>697</v>
      </c>
      <c r="X72" s="73" t="s">
        <v>631</v>
      </c>
      <c r="Y72" s="74" t="s">
        <v>2186</v>
      </c>
      <c r="Z72" s="74" t="s">
        <v>698</v>
      </c>
      <c r="AA72" s="47" t="s">
        <v>699</v>
      </c>
      <c r="AB72" s="47" t="s">
        <v>641</v>
      </c>
      <c r="AC72" s="74" t="s">
        <v>642</v>
      </c>
      <c r="AD72" s="47" t="s">
        <v>700</v>
      </c>
    </row>
    <row r="73" spans="1:30" s="82" customFormat="1" ht="125.25" customHeight="1">
      <c r="A73" s="70">
        <f t="shared" si="1"/>
        <v>70</v>
      </c>
      <c r="B73" s="71" t="s">
        <v>701</v>
      </c>
      <c r="C73" s="47" t="s">
        <v>702</v>
      </c>
      <c r="D73" s="47" t="s">
        <v>703</v>
      </c>
      <c r="E73" s="47">
        <v>1990</v>
      </c>
      <c r="F73" s="47" t="s">
        <v>7</v>
      </c>
      <c r="G73" s="47" t="s">
        <v>29</v>
      </c>
      <c r="H73" s="47" t="s">
        <v>2175</v>
      </c>
      <c r="I73" s="47" t="s">
        <v>630</v>
      </c>
      <c r="J73" s="47" t="s">
        <v>704</v>
      </c>
      <c r="K73" s="72" t="s">
        <v>2187</v>
      </c>
      <c r="L73" s="47" t="s">
        <v>7</v>
      </c>
      <c r="M73" s="47" t="s">
        <v>631</v>
      </c>
      <c r="N73" s="47" t="s">
        <v>632</v>
      </c>
      <c r="O73" s="47" t="s">
        <v>633</v>
      </c>
      <c r="P73" s="47" t="s">
        <v>705</v>
      </c>
      <c r="Q73" s="47" t="s">
        <v>636</v>
      </c>
      <c r="R73" s="47" t="s">
        <v>653</v>
      </c>
      <c r="S73" s="47" t="s">
        <v>706</v>
      </c>
      <c r="T73" s="47" t="s">
        <v>631</v>
      </c>
      <c r="U73" s="47" t="s">
        <v>631</v>
      </c>
      <c r="V73" s="47" t="s">
        <v>707</v>
      </c>
      <c r="W73" s="47" t="s">
        <v>708</v>
      </c>
      <c r="X73" s="73" t="s">
        <v>631</v>
      </c>
      <c r="Y73" s="74" t="s">
        <v>2188</v>
      </c>
      <c r="Z73" s="74" t="s">
        <v>2189</v>
      </c>
      <c r="AA73" s="47" t="s">
        <v>683</v>
      </c>
      <c r="AB73" s="47" t="s">
        <v>641</v>
      </c>
      <c r="AC73" s="74" t="s">
        <v>642</v>
      </c>
      <c r="AD73" s="47" t="s">
        <v>709</v>
      </c>
    </row>
    <row r="74" spans="1:30" s="82" customFormat="1" ht="125.25" customHeight="1">
      <c r="A74" s="70">
        <f t="shared" si="1"/>
        <v>71</v>
      </c>
      <c r="B74" s="71" t="s">
        <v>2314</v>
      </c>
      <c r="C74" s="47" t="s">
        <v>710</v>
      </c>
      <c r="D74" s="47" t="s">
        <v>711</v>
      </c>
      <c r="E74" s="47">
        <v>2017</v>
      </c>
      <c r="F74" s="47" t="s">
        <v>7</v>
      </c>
      <c r="G74" s="47" t="s">
        <v>29</v>
      </c>
      <c r="H74" s="47" t="s">
        <v>2175</v>
      </c>
      <c r="I74" s="47" t="s">
        <v>630</v>
      </c>
      <c r="J74" s="47" t="s">
        <v>712</v>
      </c>
      <c r="K74" s="72" t="s">
        <v>2190</v>
      </c>
      <c r="L74" s="47" t="s">
        <v>2191</v>
      </c>
      <c r="M74" s="47" t="s">
        <v>631</v>
      </c>
      <c r="N74" s="47" t="s">
        <v>632</v>
      </c>
      <c r="O74" s="47" t="s">
        <v>713</v>
      </c>
      <c r="P74" s="47" t="s">
        <v>714</v>
      </c>
      <c r="Q74" s="47" t="s">
        <v>653</v>
      </c>
      <c r="R74" s="47" t="s">
        <v>636</v>
      </c>
      <c r="S74" s="47" t="s">
        <v>715</v>
      </c>
      <c r="T74" s="47" t="s">
        <v>631</v>
      </c>
      <c r="U74" s="47" t="s">
        <v>631</v>
      </c>
      <c r="V74" s="47" t="s">
        <v>631</v>
      </c>
      <c r="W74" s="47" t="s">
        <v>631</v>
      </c>
      <c r="X74" s="73" t="s">
        <v>631</v>
      </c>
      <c r="Y74" s="74" t="s">
        <v>716</v>
      </c>
      <c r="Z74" s="74" t="s">
        <v>683</v>
      </c>
      <c r="AA74" s="47" t="s">
        <v>2324</v>
      </c>
      <c r="AB74" s="47" t="s">
        <v>642</v>
      </c>
      <c r="AC74" s="74" t="s">
        <v>717</v>
      </c>
      <c r="AD74" s="47" t="s">
        <v>2325</v>
      </c>
    </row>
    <row r="75" spans="1:30" s="82" customFormat="1" ht="125.25" customHeight="1">
      <c r="A75" s="70">
        <f t="shared" si="1"/>
        <v>72</v>
      </c>
      <c r="B75" s="71" t="s">
        <v>718</v>
      </c>
      <c r="C75" s="47" t="s">
        <v>718</v>
      </c>
      <c r="D75" s="47" t="s">
        <v>719</v>
      </c>
      <c r="E75" s="47">
        <v>1991</v>
      </c>
      <c r="F75" s="47" t="s">
        <v>7</v>
      </c>
      <c r="G75" s="47" t="s">
        <v>49</v>
      </c>
      <c r="H75" s="47" t="s">
        <v>2192</v>
      </c>
      <c r="I75" s="47" t="s">
        <v>630</v>
      </c>
      <c r="J75" s="47" t="s">
        <v>720</v>
      </c>
      <c r="K75" s="72" t="s">
        <v>2193</v>
      </c>
      <c r="L75" s="47" t="s">
        <v>7</v>
      </c>
      <c r="M75" s="47" t="s">
        <v>11</v>
      </c>
      <c r="N75" s="47" t="s">
        <v>721</v>
      </c>
      <c r="O75" s="47" t="s">
        <v>722</v>
      </c>
      <c r="P75" s="47" t="s">
        <v>723</v>
      </c>
      <c r="Q75" s="47" t="s">
        <v>652</v>
      </c>
      <c r="R75" s="47" t="s">
        <v>724</v>
      </c>
      <c r="S75" s="47" t="s">
        <v>653</v>
      </c>
      <c r="T75" s="47" t="s">
        <v>631</v>
      </c>
      <c r="U75" s="47" t="s">
        <v>631</v>
      </c>
      <c r="V75" s="47" t="s">
        <v>725</v>
      </c>
      <c r="W75" s="47" t="s">
        <v>726</v>
      </c>
      <c r="X75" s="73" t="s">
        <v>727</v>
      </c>
      <c r="Y75" s="74" t="s">
        <v>2194</v>
      </c>
      <c r="Z75" s="74" t="s">
        <v>2195</v>
      </c>
      <c r="AA75" s="47" t="s">
        <v>728</v>
      </c>
      <c r="AB75" s="47" t="s">
        <v>641</v>
      </c>
      <c r="AC75" s="74" t="s">
        <v>642</v>
      </c>
      <c r="AD75" s="47" t="s">
        <v>2196</v>
      </c>
    </row>
    <row r="76" spans="1:30" s="82" customFormat="1" ht="125.25" customHeight="1">
      <c r="A76" s="70">
        <f t="shared" si="1"/>
        <v>73</v>
      </c>
      <c r="B76" s="71" t="s">
        <v>1384</v>
      </c>
      <c r="C76" s="47" t="s">
        <v>729</v>
      </c>
      <c r="D76" s="47" t="s">
        <v>730</v>
      </c>
      <c r="E76" s="47">
        <v>2016</v>
      </c>
      <c r="F76" s="47" t="s">
        <v>7</v>
      </c>
      <c r="G76" s="47" t="s">
        <v>38</v>
      </c>
      <c r="H76" s="47" t="s">
        <v>2197</v>
      </c>
      <c r="I76" s="47" t="s">
        <v>630</v>
      </c>
      <c r="J76" s="47" t="s">
        <v>712</v>
      </c>
      <c r="K76" s="72" t="s">
        <v>2198</v>
      </c>
      <c r="L76" s="47" t="s">
        <v>2199</v>
      </c>
      <c r="M76" s="47" t="s">
        <v>631</v>
      </c>
      <c r="N76" s="47" t="s">
        <v>632</v>
      </c>
      <c r="O76" s="47" t="s">
        <v>731</v>
      </c>
      <c r="P76" s="47" t="s">
        <v>2200</v>
      </c>
      <c r="Q76" s="47" t="s">
        <v>715</v>
      </c>
      <c r="R76" s="47" t="s">
        <v>662</v>
      </c>
      <c r="S76" s="47" t="s">
        <v>636</v>
      </c>
      <c r="T76" s="47" t="s">
        <v>631</v>
      </c>
      <c r="U76" s="47" t="s">
        <v>631</v>
      </c>
      <c r="V76" s="47" t="s">
        <v>631</v>
      </c>
      <c r="W76" s="47" t="s">
        <v>631</v>
      </c>
      <c r="X76" s="73" t="s">
        <v>631</v>
      </c>
      <c r="Y76" s="74" t="s">
        <v>732</v>
      </c>
      <c r="Z76" s="74" t="s">
        <v>683</v>
      </c>
      <c r="AA76" s="47" t="s">
        <v>641</v>
      </c>
      <c r="AB76" s="47" t="s">
        <v>642</v>
      </c>
      <c r="AC76" s="74" t="s">
        <v>733</v>
      </c>
      <c r="AD76" s="47" t="s">
        <v>2326</v>
      </c>
    </row>
    <row r="77" spans="1:30" s="82" customFormat="1" ht="125.25" customHeight="1">
      <c r="A77" s="70">
        <f t="shared" si="1"/>
        <v>74</v>
      </c>
      <c r="B77" s="71" t="s">
        <v>734</v>
      </c>
      <c r="C77" s="47" t="s">
        <v>735</v>
      </c>
      <c r="D77" s="47" t="s">
        <v>736</v>
      </c>
      <c r="E77" s="47">
        <v>2008</v>
      </c>
      <c r="F77" s="47" t="s">
        <v>7</v>
      </c>
      <c r="G77" s="47" t="s">
        <v>24</v>
      </c>
      <c r="H77" s="47" t="s">
        <v>2180</v>
      </c>
      <c r="I77" s="47" t="s">
        <v>630</v>
      </c>
      <c r="J77" s="47" t="s">
        <v>737</v>
      </c>
      <c r="K77" s="72" t="s">
        <v>2201</v>
      </c>
      <c r="L77" s="47" t="s">
        <v>738</v>
      </c>
      <c r="M77" s="47" t="s">
        <v>7</v>
      </c>
      <c r="N77" s="47" t="s">
        <v>632</v>
      </c>
      <c r="O77" s="47" t="s">
        <v>633</v>
      </c>
      <c r="P77" s="47" t="s">
        <v>634</v>
      </c>
      <c r="Q77" s="47" t="s">
        <v>653</v>
      </c>
      <c r="R77" s="47" t="s">
        <v>706</v>
      </c>
      <c r="S77" s="47" t="s">
        <v>739</v>
      </c>
      <c r="T77" s="47" t="s">
        <v>631</v>
      </c>
      <c r="U77" s="47" t="s">
        <v>631</v>
      </c>
      <c r="V77" s="47" t="s">
        <v>631</v>
      </c>
      <c r="W77" s="47" t="s">
        <v>740</v>
      </c>
      <c r="X77" s="73" t="s">
        <v>631</v>
      </c>
      <c r="Y77" s="74" t="s">
        <v>2202</v>
      </c>
      <c r="Z77" s="74" t="s">
        <v>2203</v>
      </c>
      <c r="AA77" s="47" t="s">
        <v>683</v>
      </c>
      <c r="AB77" s="47" t="s">
        <v>641</v>
      </c>
      <c r="AC77" s="74" t="s">
        <v>642</v>
      </c>
      <c r="AD77" s="47" t="s">
        <v>741</v>
      </c>
    </row>
    <row r="78" spans="1:30" s="82" customFormat="1" ht="125.25" customHeight="1">
      <c r="A78" s="70">
        <f t="shared" si="1"/>
        <v>75</v>
      </c>
      <c r="B78" s="71" t="s">
        <v>2315</v>
      </c>
      <c r="C78" s="47" t="s">
        <v>742</v>
      </c>
      <c r="D78" s="47" t="s">
        <v>743</v>
      </c>
      <c r="E78" s="47">
        <v>2015</v>
      </c>
      <c r="F78" s="47" t="s">
        <v>7</v>
      </c>
      <c r="G78" s="47" t="s">
        <v>24</v>
      </c>
      <c r="H78" s="47" t="s">
        <v>2204</v>
      </c>
      <c r="I78" s="47" t="s">
        <v>630</v>
      </c>
      <c r="J78" s="47" t="s">
        <v>712</v>
      </c>
      <c r="K78" s="72" t="s">
        <v>2205</v>
      </c>
      <c r="L78" s="47" t="s">
        <v>2191</v>
      </c>
      <c r="M78" s="47" t="s">
        <v>631</v>
      </c>
      <c r="N78" s="47" t="s">
        <v>632</v>
      </c>
      <c r="O78" s="47" t="s">
        <v>731</v>
      </c>
      <c r="P78" s="47" t="s">
        <v>2206</v>
      </c>
      <c r="Q78" s="47" t="s">
        <v>715</v>
      </c>
      <c r="R78" s="47" t="s">
        <v>636</v>
      </c>
      <c r="S78" s="47" t="s">
        <v>653</v>
      </c>
      <c r="T78" s="47" t="s">
        <v>631</v>
      </c>
      <c r="U78" s="47" t="s">
        <v>631</v>
      </c>
      <c r="V78" s="47" t="s">
        <v>631</v>
      </c>
      <c r="W78" s="47" t="s">
        <v>631</v>
      </c>
      <c r="X78" s="73" t="s">
        <v>631</v>
      </c>
      <c r="Y78" s="74" t="s">
        <v>744</v>
      </c>
      <c r="Z78" s="74" t="s">
        <v>683</v>
      </c>
      <c r="AA78" s="47" t="s">
        <v>641</v>
      </c>
      <c r="AB78" s="47" t="s">
        <v>642</v>
      </c>
      <c r="AC78" s="74" t="s">
        <v>745</v>
      </c>
      <c r="AD78" s="47" t="s">
        <v>2327</v>
      </c>
    </row>
    <row r="79" spans="1:30" s="82" customFormat="1" ht="125.25" customHeight="1">
      <c r="A79" s="70">
        <f t="shared" si="1"/>
        <v>76</v>
      </c>
      <c r="B79" s="71" t="s">
        <v>750</v>
      </c>
      <c r="C79" s="47" t="s">
        <v>746</v>
      </c>
      <c r="D79" s="47" t="s">
        <v>747</v>
      </c>
      <c r="E79" s="47" t="s">
        <v>631</v>
      </c>
      <c r="F79" s="47" t="s">
        <v>7</v>
      </c>
      <c r="G79" s="47" t="s">
        <v>48</v>
      </c>
      <c r="H79" s="47" t="s">
        <v>631</v>
      </c>
      <c r="I79" s="47" t="s">
        <v>630</v>
      </c>
      <c r="J79" s="47" t="s">
        <v>712</v>
      </c>
      <c r="K79" s="72" t="s">
        <v>2207</v>
      </c>
      <c r="L79" s="47" t="s">
        <v>2191</v>
      </c>
      <c r="M79" s="47" t="s">
        <v>631</v>
      </c>
      <c r="N79" s="47" t="s">
        <v>632</v>
      </c>
      <c r="O79" s="47" t="s">
        <v>679</v>
      </c>
      <c r="P79" s="47" t="s">
        <v>2208</v>
      </c>
      <c r="Q79" s="47" t="s">
        <v>637</v>
      </c>
      <c r="R79" s="47" t="s">
        <v>636</v>
      </c>
      <c r="S79" s="47" t="s">
        <v>662</v>
      </c>
      <c r="T79" s="47" t="s">
        <v>631</v>
      </c>
      <c r="U79" s="47" t="s">
        <v>631</v>
      </c>
      <c r="V79" s="47" t="s">
        <v>631</v>
      </c>
      <c r="W79" s="47" t="s">
        <v>631</v>
      </c>
      <c r="X79" s="73" t="s">
        <v>631</v>
      </c>
      <c r="Y79" s="74" t="s">
        <v>748</v>
      </c>
      <c r="Z79" s="74" t="s">
        <v>683</v>
      </c>
      <c r="AA79" s="47" t="s">
        <v>641</v>
      </c>
      <c r="AB79" s="47" t="s">
        <v>642</v>
      </c>
      <c r="AC79" s="74" t="s">
        <v>749</v>
      </c>
      <c r="AD79" s="47" t="s">
        <v>2328</v>
      </c>
    </row>
    <row r="80" spans="1:30" s="82" customFormat="1" ht="125.25" customHeight="1">
      <c r="A80" s="70">
        <f t="shared" si="1"/>
        <v>77</v>
      </c>
      <c r="B80" s="71" t="s">
        <v>751</v>
      </c>
      <c r="C80" s="47" t="s">
        <v>752</v>
      </c>
      <c r="D80" s="47" t="s">
        <v>753</v>
      </c>
      <c r="E80" s="47">
        <v>1993</v>
      </c>
      <c r="F80" s="47" t="s">
        <v>7</v>
      </c>
      <c r="G80" s="47" t="s">
        <v>24</v>
      </c>
      <c r="H80" s="47" t="s">
        <v>2180</v>
      </c>
      <c r="I80" s="47" t="s">
        <v>630</v>
      </c>
      <c r="J80" s="47" t="s">
        <v>754</v>
      </c>
      <c r="K80" s="72" t="s">
        <v>2209</v>
      </c>
      <c r="L80" s="47" t="s">
        <v>738</v>
      </c>
      <c r="M80" s="47" t="s">
        <v>7</v>
      </c>
      <c r="N80" s="47" t="s">
        <v>632</v>
      </c>
      <c r="O80" s="47" t="s">
        <v>633</v>
      </c>
      <c r="P80" s="47" t="s">
        <v>634</v>
      </c>
      <c r="Q80" s="47" t="s">
        <v>739</v>
      </c>
      <c r="R80" s="47" t="s">
        <v>653</v>
      </c>
      <c r="S80" s="47" t="s">
        <v>637</v>
      </c>
      <c r="T80" s="47" t="s">
        <v>631</v>
      </c>
      <c r="U80" s="47" t="s">
        <v>631</v>
      </c>
      <c r="V80" s="47" t="s">
        <v>755</v>
      </c>
      <c r="W80" s="47" t="s">
        <v>756</v>
      </c>
      <c r="X80" s="73" t="s">
        <v>631</v>
      </c>
      <c r="Y80" s="74" t="s">
        <v>2210</v>
      </c>
      <c r="Z80" s="74" t="s">
        <v>2211</v>
      </c>
      <c r="AA80" s="47" t="s">
        <v>683</v>
      </c>
      <c r="AB80" s="47" t="s">
        <v>641</v>
      </c>
      <c r="AC80" s="74" t="s">
        <v>642</v>
      </c>
      <c r="AD80" s="47" t="s">
        <v>757</v>
      </c>
    </row>
    <row r="81" spans="1:30" s="82" customFormat="1" ht="125.25" customHeight="1">
      <c r="A81" s="70">
        <f t="shared" si="1"/>
        <v>78</v>
      </c>
      <c r="B81" s="71" t="s">
        <v>2316</v>
      </c>
      <c r="C81" s="47" t="s">
        <v>758</v>
      </c>
      <c r="D81" s="47" t="s">
        <v>759</v>
      </c>
      <c r="E81" s="47" t="s">
        <v>631</v>
      </c>
      <c r="F81" s="47" t="s">
        <v>7</v>
      </c>
      <c r="G81" s="47" t="s">
        <v>39</v>
      </c>
      <c r="H81" s="47" t="s">
        <v>631</v>
      </c>
      <c r="I81" s="47" t="s">
        <v>630</v>
      </c>
      <c r="J81" s="47" t="s">
        <v>760</v>
      </c>
      <c r="K81" s="72" t="s">
        <v>761</v>
      </c>
      <c r="L81" s="47" t="s">
        <v>762</v>
      </c>
      <c r="M81" s="47" t="s">
        <v>631</v>
      </c>
      <c r="N81" s="47" t="s">
        <v>632</v>
      </c>
      <c r="O81" s="47" t="s">
        <v>633</v>
      </c>
      <c r="P81" s="47" t="s">
        <v>634</v>
      </c>
      <c r="Q81" s="47" t="s">
        <v>652</v>
      </c>
      <c r="R81" s="47" t="s">
        <v>653</v>
      </c>
      <c r="S81" s="47" t="s">
        <v>706</v>
      </c>
      <c r="T81" s="47" t="s">
        <v>631</v>
      </c>
      <c r="U81" s="47" t="s">
        <v>631</v>
      </c>
      <c r="V81" s="47" t="s">
        <v>631</v>
      </c>
      <c r="W81" s="47" t="s">
        <v>631</v>
      </c>
      <c r="X81" s="73" t="s">
        <v>631</v>
      </c>
      <c r="Y81" s="74" t="s">
        <v>763</v>
      </c>
      <c r="Z81" s="74" t="s">
        <v>683</v>
      </c>
      <c r="AA81" s="47" t="s">
        <v>641</v>
      </c>
      <c r="AB81" s="47" t="s">
        <v>642</v>
      </c>
      <c r="AC81" s="74" t="s">
        <v>764</v>
      </c>
      <c r="AD81" s="47" t="s">
        <v>2329</v>
      </c>
    </row>
    <row r="82" spans="1:30" s="82" customFormat="1" ht="125.25" customHeight="1">
      <c r="A82" s="70">
        <f t="shared" si="1"/>
        <v>79</v>
      </c>
      <c r="B82" s="71" t="s">
        <v>765</v>
      </c>
      <c r="C82" s="47" t="s">
        <v>766</v>
      </c>
      <c r="D82" s="47" t="s">
        <v>767</v>
      </c>
      <c r="E82" s="47">
        <v>1989</v>
      </c>
      <c r="F82" s="47" t="s">
        <v>7</v>
      </c>
      <c r="G82" s="47" t="s">
        <v>39</v>
      </c>
      <c r="H82" s="47" t="s">
        <v>768</v>
      </c>
      <c r="I82" s="47" t="s">
        <v>630</v>
      </c>
      <c r="J82" s="47" t="s">
        <v>712</v>
      </c>
      <c r="K82" s="72" t="s">
        <v>2212</v>
      </c>
      <c r="L82" s="47" t="s">
        <v>7</v>
      </c>
      <c r="M82" s="47" t="s">
        <v>631</v>
      </c>
      <c r="N82" s="47" t="s">
        <v>769</v>
      </c>
      <c r="O82" s="47" t="s">
        <v>770</v>
      </c>
      <c r="P82" s="47" t="s">
        <v>705</v>
      </c>
      <c r="Q82" s="47" t="s">
        <v>739</v>
      </c>
      <c r="R82" s="47" t="s">
        <v>653</v>
      </c>
      <c r="S82" s="47" t="s">
        <v>662</v>
      </c>
      <c r="T82" s="47" t="s">
        <v>631</v>
      </c>
      <c r="U82" s="47" t="s">
        <v>631</v>
      </c>
      <c r="V82" s="47" t="s">
        <v>771</v>
      </c>
      <c r="W82" s="47" t="s">
        <v>772</v>
      </c>
      <c r="X82" s="73" t="s">
        <v>773</v>
      </c>
      <c r="Y82" s="74" t="s">
        <v>2213</v>
      </c>
      <c r="Z82" s="74" t="s">
        <v>774</v>
      </c>
      <c r="AA82" s="47" t="s">
        <v>683</v>
      </c>
      <c r="AB82" s="47" t="s">
        <v>641</v>
      </c>
      <c r="AC82" s="74" t="s">
        <v>642</v>
      </c>
      <c r="AD82" s="47" t="s">
        <v>775</v>
      </c>
    </row>
    <row r="83" spans="1:30" s="82" customFormat="1" ht="125.25" customHeight="1">
      <c r="A83" s="70">
        <f t="shared" si="1"/>
        <v>80</v>
      </c>
      <c r="B83" s="71" t="s">
        <v>776</v>
      </c>
      <c r="C83" s="47" t="s">
        <v>777</v>
      </c>
      <c r="D83" s="47" t="s">
        <v>778</v>
      </c>
      <c r="E83" s="47">
        <v>1981</v>
      </c>
      <c r="F83" s="47" t="s">
        <v>7</v>
      </c>
      <c r="G83" s="47" t="s">
        <v>39</v>
      </c>
      <c r="H83" s="47" t="s">
        <v>768</v>
      </c>
      <c r="I83" s="47" t="s">
        <v>630</v>
      </c>
      <c r="J83" s="47" t="s">
        <v>712</v>
      </c>
      <c r="K83" s="72" t="s">
        <v>2214</v>
      </c>
      <c r="L83" s="47" t="s">
        <v>7</v>
      </c>
      <c r="M83" s="47" t="s">
        <v>8</v>
      </c>
      <c r="N83" s="47" t="s">
        <v>779</v>
      </c>
      <c r="O83" s="47" t="s">
        <v>679</v>
      </c>
      <c r="P83" s="47" t="s">
        <v>780</v>
      </c>
      <c r="Q83" s="47" t="s">
        <v>636</v>
      </c>
      <c r="R83" s="47" t="s">
        <v>635</v>
      </c>
      <c r="S83" s="47" t="s">
        <v>662</v>
      </c>
      <c r="T83" s="47" t="s">
        <v>631</v>
      </c>
      <c r="U83" s="47" t="s">
        <v>631</v>
      </c>
      <c r="V83" s="47" t="s">
        <v>781</v>
      </c>
      <c r="W83" s="47" t="s">
        <v>782</v>
      </c>
      <c r="X83" s="73" t="s">
        <v>783</v>
      </c>
      <c r="Y83" s="74" t="s">
        <v>2215</v>
      </c>
      <c r="Z83" s="74" t="s">
        <v>784</v>
      </c>
      <c r="AA83" s="47" t="s">
        <v>683</v>
      </c>
      <c r="AB83" s="47" t="s">
        <v>641</v>
      </c>
      <c r="AC83" s="74" t="s">
        <v>642</v>
      </c>
      <c r="AD83" s="47" t="s">
        <v>785</v>
      </c>
    </row>
    <row r="84" spans="1:30" s="82" customFormat="1" ht="125.25" customHeight="1">
      <c r="A84" s="70">
        <f t="shared" si="1"/>
        <v>81</v>
      </c>
      <c r="B84" s="71" t="s">
        <v>786</v>
      </c>
      <c r="C84" s="47" t="s">
        <v>786</v>
      </c>
      <c r="D84" s="47" t="s">
        <v>787</v>
      </c>
      <c r="E84" s="47">
        <v>1949</v>
      </c>
      <c r="F84" s="47" t="s">
        <v>7</v>
      </c>
      <c r="G84" s="47" t="s">
        <v>39</v>
      </c>
      <c r="H84" s="47" t="s">
        <v>788</v>
      </c>
      <c r="I84" s="47" t="s">
        <v>630</v>
      </c>
      <c r="J84" s="47" t="s">
        <v>789</v>
      </c>
      <c r="K84" s="72" t="s">
        <v>790</v>
      </c>
      <c r="L84" s="47" t="s">
        <v>7</v>
      </c>
      <c r="M84" s="47" t="s">
        <v>11</v>
      </c>
      <c r="N84" s="47" t="s">
        <v>721</v>
      </c>
      <c r="O84" s="47" t="s">
        <v>723</v>
      </c>
      <c r="P84" s="47" t="s">
        <v>722</v>
      </c>
      <c r="Q84" s="47" t="s">
        <v>652</v>
      </c>
      <c r="R84" s="47" t="s">
        <v>653</v>
      </c>
      <c r="S84" s="47" t="s">
        <v>706</v>
      </c>
      <c r="T84" s="47" t="s">
        <v>631</v>
      </c>
      <c r="U84" s="47" t="s">
        <v>631</v>
      </c>
      <c r="V84" s="47" t="s">
        <v>791</v>
      </c>
      <c r="W84" s="47" t="s">
        <v>792</v>
      </c>
      <c r="X84" s="73" t="s">
        <v>793</v>
      </c>
      <c r="Y84" s="74" t="s">
        <v>2216</v>
      </c>
      <c r="Z84" s="74" t="s">
        <v>794</v>
      </c>
      <c r="AA84" s="47" t="s">
        <v>795</v>
      </c>
      <c r="AB84" s="47" t="s">
        <v>641</v>
      </c>
      <c r="AC84" s="74" t="s">
        <v>642</v>
      </c>
      <c r="AD84" s="47" t="s">
        <v>796</v>
      </c>
    </row>
    <row r="85" spans="1:30" s="82" customFormat="1" ht="125.25" customHeight="1">
      <c r="A85" s="70">
        <f t="shared" si="1"/>
        <v>82</v>
      </c>
      <c r="B85" s="71" t="s">
        <v>797</v>
      </c>
      <c r="C85" s="47" t="s">
        <v>798</v>
      </c>
      <c r="D85" s="47" t="s">
        <v>799</v>
      </c>
      <c r="E85" s="47">
        <v>2000</v>
      </c>
      <c r="F85" s="47" t="s">
        <v>7</v>
      </c>
      <c r="G85" s="47" t="s">
        <v>39</v>
      </c>
      <c r="H85" s="47" t="s">
        <v>768</v>
      </c>
      <c r="I85" s="47" t="s">
        <v>630</v>
      </c>
      <c r="J85" s="47" t="s">
        <v>712</v>
      </c>
      <c r="K85" s="72" t="s">
        <v>2217</v>
      </c>
      <c r="L85" s="47" t="s">
        <v>7</v>
      </c>
      <c r="M85" s="47" t="s">
        <v>11</v>
      </c>
      <c r="N85" s="47" t="s">
        <v>632</v>
      </c>
      <c r="O85" s="47" t="s">
        <v>770</v>
      </c>
      <c r="P85" s="47" t="s">
        <v>634</v>
      </c>
      <c r="Q85" s="47" t="s">
        <v>652</v>
      </c>
      <c r="R85" s="47" t="s">
        <v>724</v>
      </c>
      <c r="S85" s="47" t="s">
        <v>653</v>
      </c>
      <c r="T85" s="47" t="s">
        <v>631</v>
      </c>
      <c r="U85" s="47" t="s">
        <v>631</v>
      </c>
      <c r="V85" s="47" t="s">
        <v>800</v>
      </c>
      <c r="W85" s="47" t="s">
        <v>801</v>
      </c>
      <c r="X85" s="73" t="s">
        <v>802</v>
      </c>
      <c r="Y85" s="74" t="s">
        <v>2218</v>
      </c>
      <c r="Z85" s="74" t="s">
        <v>803</v>
      </c>
      <c r="AA85" s="47" t="s">
        <v>683</v>
      </c>
      <c r="AB85" s="47" t="s">
        <v>641</v>
      </c>
      <c r="AC85" s="74" t="s">
        <v>642</v>
      </c>
      <c r="AD85" s="47" t="s">
        <v>804</v>
      </c>
    </row>
    <row r="86" spans="1:30" s="82" customFormat="1" ht="125.25" customHeight="1">
      <c r="A86" s="70">
        <f t="shared" si="1"/>
        <v>83</v>
      </c>
      <c r="B86" s="71" t="s">
        <v>2317</v>
      </c>
      <c r="C86" s="47" t="s">
        <v>805</v>
      </c>
      <c r="D86" s="47" t="s">
        <v>806</v>
      </c>
      <c r="E86" s="47" t="s">
        <v>631</v>
      </c>
      <c r="F86" s="47" t="s">
        <v>7</v>
      </c>
      <c r="G86" s="47" t="s">
        <v>39</v>
      </c>
      <c r="H86" s="47" t="s">
        <v>631</v>
      </c>
      <c r="I86" s="47" t="s">
        <v>630</v>
      </c>
      <c r="J86" s="47" t="s">
        <v>712</v>
      </c>
      <c r="K86" s="72" t="s">
        <v>2219</v>
      </c>
      <c r="L86" s="47" t="s">
        <v>762</v>
      </c>
      <c r="M86" s="47" t="s">
        <v>631</v>
      </c>
      <c r="N86" s="47" t="s">
        <v>632</v>
      </c>
      <c r="O86" s="47" t="s">
        <v>807</v>
      </c>
      <c r="P86" s="47" t="s">
        <v>714</v>
      </c>
      <c r="Q86" s="47" t="s">
        <v>706</v>
      </c>
      <c r="R86" s="47" t="s">
        <v>637</v>
      </c>
      <c r="S86" s="47" t="s">
        <v>653</v>
      </c>
      <c r="T86" s="47" t="s">
        <v>631</v>
      </c>
      <c r="U86" s="47" t="s">
        <v>631</v>
      </c>
      <c r="V86" s="47" t="s">
        <v>631</v>
      </c>
      <c r="W86" s="47" t="s">
        <v>631</v>
      </c>
      <c r="X86" s="73" t="s">
        <v>631</v>
      </c>
      <c r="Y86" s="74" t="s">
        <v>808</v>
      </c>
      <c r="Z86" s="74" t="s">
        <v>683</v>
      </c>
      <c r="AA86" s="47" t="s">
        <v>641</v>
      </c>
      <c r="AB86" s="47" t="s">
        <v>642</v>
      </c>
      <c r="AC86" s="74" t="s">
        <v>809</v>
      </c>
      <c r="AD86" s="47" t="s">
        <v>2330</v>
      </c>
    </row>
    <row r="87" spans="1:30" s="82" customFormat="1" ht="125.25" customHeight="1">
      <c r="A87" s="70">
        <f t="shared" si="1"/>
        <v>84</v>
      </c>
      <c r="B87" s="71" t="s">
        <v>2318</v>
      </c>
      <c r="C87" s="47" t="s">
        <v>810</v>
      </c>
      <c r="D87" s="47" t="s">
        <v>811</v>
      </c>
      <c r="E87" s="47" t="s">
        <v>631</v>
      </c>
      <c r="F87" s="47" t="s">
        <v>7</v>
      </c>
      <c r="G87" s="47" t="s">
        <v>39</v>
      </c>
      <c r="H87" s="47" t="s">
        <v>768</v>
      </c>
      <c r="I87" s="47" t="s">
        <v>630</v>
      </c>
      <c r="J87" s="47" t="s">
        <v>712</v>
      </c>
      <c r="K87" s="72" t="s">
        <v>2220</v>
      </c>
      <c r="L87" s="47" t="s">
        <v>7</v>
      </c>
      <c r="M87" s="47" t="s">
        <v>631</v>
      </c>
      <c r="N87" s="47" t="s">
        <v>632</v>
      </c>
      <c r="O87" s="47" t="s">
        <v>633</v>
      </c>
      <c r="P87" s="47" t="s">
        <v>812</v>
      </c>
      <c r="Q87" s="47" t="s">
        <v>706</v>
      </c>
      <c r="R87" s="47" t="s">
        <v>653</v>
      </c>
      <c r="S87" s="47" t="s">
        <v>662</v>
      </c>
      <c r="T87" s="47" t="s">
        <v>631</v>
      </c>
      <c r="U87" s="47" t="s">
        <v>631</v>
      </c>
      <c r="V87" s="47" t="s">
        <v>631</v>
      </c>
      <c r="W87" s="47" t="s">
        <v>631</v>
      </c>
      <c r="X87" s="73" t="s">
        <v>631</v>
      </c>
      <c r="Y87" s="74" t="s">
        <v>813</v>
      </c>
      <c r="Z87" s="74" t="s">
        <v>683</v>
      </c>
      <c r="AA87" s="47" t="s">
        <v>641</v>
      </c>
      <c r="AB87" s="47" t="s">
        <v>642</v>
      </c>
      <c r="AC87" s="74" t="s">
        <v>814</v>
      </c>
      <c r="AD87" s="47" t="s">
        <v>2331</v>
      </c>
    </row>
    <row r="88" spans="1:30" s="82" customFormat="1" ht="125.25" customHeight="1">
      <c r="A88" s="70">
        <f t="shared" si="1"/>
        <v>85</v>
      </c>
      <c r="B88" s="71" t="s">
        <v>815</v>
      </c>
      <c r="C88" s="47" t="s">
        <v>816</v>
      </c>
      <c r="D88" s="47" t="s">
        <v>817</v>
      </c>
      <c r="E88" s="47">
        <v>1999</v>
      </c>
      <c r="F88" s="47" t="s">
        <v>7</v>
      </c>
      <c r="G88" s="47" t="s">
        <v>39</v>
      </c>
      <c r="H88" s="47" t="s">
        <v>768</v>
      </c>
      <c r="I88" s="47" t="s">
        <v>630</v>
      </c>
      <c r="J88" s="47" t="s">
        <v>818</v>
      </c>
      <c r="K88" s="72" t="s">
        <v>2221</v>
      </c>
      <c r="L88" s="47" t="s">
        <v>738</v>
      </c>
      <c r="M88" s="47" t="s">
        <v>7</v>
      </c>
      <c r="N88" s="47" t="s">
        <v>819</v>
      </c>
      <c r="O88" s="47" t="s">
        <v>820</v>
      </c>
      <c r="P88" s="47" t="s">
        <v>821</v>
      </c>
      <c r="Q88" s="47" t="s">
        <v>653</v>
      </c>
      <c r="R88" s="47" t="s">
        <v>652</v>
      </c>
      <c r="S88" s="47" t="s">
        <v>715</v>
      </c>
      <c r="T88" s="47" t="s">
        <v>822</v>
      </c>
      <c r="U88" s="47" t="s">
        <v>822</v>
      </c>
      <c r="V88" s="47" t="s">
        <v>823</v>
      </c>
      <c r="W88" s="47" t="s">
        <v>824</v>
      </c>
      <c r="X88" s="73" t="s">
        <v>825</v>
      </c>
      <c r="Y88" s="74" t="s">
        <v>826</v>
      </c>
      <c r="Z88" s="74" t="s">
        <v>827</v>
      </c>
      <c r="AA88" s="47" t="s">
        <v>828</v>
      </c>
      <c r="AB88" s="47" t="s">
        <v>641</v>
      </c>
      <c r="AC88" s="74" t="s">
        <v>642</v>
      </c>
      <c r="AD88" s="47" t="s">
        <v>829</v>
      </c>
    </row>
    <row r="89" spans="1:30" s="82" customFormat="1" ht="125.25" customHeight="1">
      <c r="A89" s="70">
        <f t="shared" si="1"/>
        <v>86</v>
      </c>
      <c r="B89" s="71" t="s">
        <v>830</v>
      </c>
      <c r="C89" s="47" t="s">
        <v>831</v>
      </c>
      <c r="D89" s="47" t="s">
        <v>832</v>
      </c>
      <c r="E89" s="47">
        <v>1962</v>
      </c>
      <c r="F89" s="47" t="s">
        <v>7</v>
      </c>
      <c r="G89" s="47" t="s">
        <v>39</v>
      </c>
      <c r="H89" s="47" t="s">
        <v>768</v>
      </c>
      <c r="I89" s="47" t="s">
        <v>630</v>
      </c>
      <c r="J89" s="47" t="s">
        <v>712</v>
      </c>
      <c r="K89" s="72" t="s">
        <v>833</v>
      </c>
      <c r="L89" s="47" t="s">
        <v>39</v>
      </c>
      <c r="M89" s="47" t="s">
        <v>631</v>
      </c>
      <c r="N89" s="47" t="s">
        <v>632</v>
      </c>
      <c r="O89" s="47" t="s">
        <v>633</v>
      </c>
      <c r="P89" s="47" t="s">
        <v>834</v>
      </c>
      <c r="Q89" s="47" t="s">
        <v>695</v>
      </c>
      <c r="R89" s="47" t="s">
        <v>636</v>
      </c>
      <c r="S89" s="47" t="s">
        <v>680</v>
      </c>
      <c r="T89" s="47" t="s">
        <v>631</v>
      </c>
      <c r="U89" s="47" t="s">
        <v>631</v>
      </c>
      <c r="V89" s="47" t="s">
        <v>631</v>
      </c>
      <c r="W89" s="47" t="s">
        <v>835</v>
      </c>
      <c r="X89" s="73" t="s">
        <v>631</v>
      </c>
      <c r="Y89" s="74" t="s">
        <v>836</v>
      </c>
      <c r="Z89" s="74" t="s">
        <v>837</v>
      </c>
      <c r="AA89" s="47" t="s">
        <v>683</v>
      </c>
      <c r="AB89" s="47" t="s">
        <v>641</v>
      </c>
      <c r="AC89" s="74" t="s">
        <v>642</v>
      </c>
      <c r="AD89" s="47" t="s">
        <v>838</v>
      </c>
    </row>
    <row r="90" spans="1:30" s="82" customFormat="1" ht="138">
      <c r="A90" s="70">
        <f t="shared" si="1"/>
        <v>87</v>
      </c>
      <c r="B90" s="71" t="s">
        <v>239</v>
      </c>
      <c r="C90" s="47" t="s">
        <v>240</v>
      </c>
      <c r="D90" s="47" t="s">
        <v>2222</v>
      </c>
      <c r="E90" s="47">
        <v>1987</v>
      </c>
      <c r="F90" s="47" t="s">
        <v>7</v>
      </c>
      <c r="G90" s="47" t="s">
        <v>2223</v>
      </c>
      <c r="H90" s="47" t="s">
        <v>2224</v>
      </c>
      <c r="I90" s="47" t="s">
        <v>630</v>
      </c>
      <c r="J90" s="47" t="s">
        <v>211</v>
      </c>
      <c r="K90" s="72" t="s">
        <v>2225</v>
      </c>
      <c r="L90" s="47" t="s">
        <v>2226</v>
      </c>
      <c r="M90" s="47" t="s">
        <v>2227</v>
      </c>
      <c r="N90" s="47" t="s">
        <v>1571</v>
      </c>
      <c r="O90" s="47" t="s">
        <v>1572</v>
      </c>
      <c r="P90" s="47" t="s">
        <v>1573</v>
      </c>
      <c r="Q90" s="47" t="s">
        <v>865</v>
      </c>
      <c r="R90" s="47" t="s">
        <v>1615</v>
      </c>
      <c r="S90" s="47" t="s">
        <v>1574</v>
      </c>
      <c r="T90" s="47" t="s">
        <v>2228</v>
      </c>
      <c r="U90" s="47" t="s">
        <v>241</v>
      </c>
      <c r="V90" s="47" t="s">
        <v>242</v>
      </c>
      <c r="W90" s="47" t="s">
        <v>306</v>
      </c>
      <c r="X90" s="73" t="s">
        <v>243</v>
      </c>
      <c r="Y90" s="74" t="s">
        <v>2229</v>
      </c>
      <c r="Z90" s="74" t="s">
        <v>2230</v>
      </c>
      <c r="AA90" s="47" t="s">
        <v>2231</v>
      </c>
      <c r="AB90" s="47" t="s">
        <v>1581</v>
      </c>
      <c r="AC90" s="74" t="s">
        <v>2232</v>
      </c>
      <c r="AD90" s="47" t="s">
        <v>2332</v>
      </c>
    </row>
    <row r="91" spans="1:30" s="82" customFormat="1" ht="125.25" customHeight="1">
      <c r="A91" s="70">
        <f t="shared" si="1"/>
        <v>88</v>
      </c>
      <c r="B91" s="71" t="s">
        <v>839</v>
      </c>
      <c r="C91" s="47" t="s">
        <v>840</v>
      </c>
      <c r="D91" s="47" t="s">
        <v>841</v>
      </c>
      <c r="E91" s="47">
        <v>2003</v>
      </c>
      <c r="F91" s="47" t="s">
        <v>7</v>
      </c>
      <c r="G91" s="47" t="s">
        <v>39</v>
      </c>
      <c r="H91" s="47" t="s">
        <v>768</v>
      </c>
      <c r="I91" s="47" t="s">
        <v>842</v>
      </c>
      <c r="J91" s="47" t="s">
        <v>843</v>
      </c>
      <c r="K91" s="72" t="s">
        <v>2233</v>
      </c>
      <c r="L91" s="47" t="s">
        <v>738</v>
      </c>
      <c r="M91" s="47" t="s">
        <v>7</v>
      </c>
      <c r="N91" s="47" t="s">
        <v>819</v>
      </c>
      <c r="O91" s="47" t="s">
        <v>679</v>
      </c>
      <c r="P91" s="47" t="s">
        <v>821</v>
      </c>
      <c r="Q91" s="47" t="s">
        <v>739</v>
      </c>
      <c r="R91" s="47" t="s">
        <v>652</v>
      </c>
      <c r="S91" s="47" t="s">
        <v>636</v>
      </c>
      <c r="T91" s="47" t="s">
        <v>822</v>
      </c>
      <c r="U91" s="47" t="s">
        <v>822</v>
      </c>
      <c r="V91" s="47" t="s">
        <v>844</v>
      </c>
      <c r="W91" s="47" t="s">
        <v>845</v>
      </c>
      <c r="X91" s="73" t="s">
        <v>846</v>
      </c>
      <c r="Y91" s="74" t="s">
        <v>2234</v>
      </c>
      <c r="Z91" s="74" t="s">
        <v>847</v>
      </c>
      <c r="AA91" s="47" t="s">
        <v>848</v>
      </c>
      <c r="AB91" s="47" t="s">
        <v>641</v>
      </c>
      <c r="AC91" s="74" t="s">
        <v>642</v>
      </c>
      <c r="AD91" s="47" t="s">
        <v>849</v>
      </c>
    </row>
    <row r="92" spans="1:30" s="82" customFormat="1" ht="125.25" customHeight="1">
      <c r="A92" s="70">
        <f t="shared" si="1"/>
        <v>89</v>
      </c>
      <c r="B92" s="71" t="s">
        <v>2319</v>
      </c>
      <c r="C92" s="47" t="s">
        <v>850</v>
      </c>
      <c r="D92" s="47" t="s">
        <v>851</v>
      </c>
      <c r="E92" s="47" t="s">
        <v>631</v>
      </c>
      <c r="F92" s="47" t="s">
        <v>7</v>
      </c>
      <c r="G92" s="47" t="s">
        <v>39</v>
      </c>
      <c r="H92" s="47" t="s">
        <v>631</v>
      </c>
      <c r="I92" s="47" t="s">
        <v>630</v>
      </c>
      <c r="J92" s="47" t="s">
        <v>712</v>
      </c>
      <c r="K92" s="72" t="s">
        <v>2235</v>
      </c>
      <c r="L92" s="47" t="s">
        <v>39</v>
      </c>
      <c r="M92" s="47" t="s">
        <v>631</v>
      </c>
      <c r="N92" s="47" t="s">
        <v>632</v>
      </c>
      <c r="O92" s="47" t="s">
        <v>770</v>
      </c>
      <c r="P92" s="47" t="s">
        <v>852</v>
      </c>
      <c r="Q92" s="47" t="s">
        <v>662</v>
      </c>
      <c r="R92" s="47" t="s">
        <v>706</v>
      </c>
      <c r="S92" s="47" t="s">
        <v>636</v>
      </c>
      <c r="T92" s="47" t="s">
        <v>631</v>
      </c>
      <c r="U92" s="47" t="s">
        <v>631</v>
      </c>
      <c r="V92" s="47" t="s">
        <v>631</v>
      </c>
      <c r="W92" s="47" t="s">
        <v>631</v>
      </c>
      <c r="X92" s="73" t="s">
        <v>631</v>
      </c>
      <c r="Y92" s="74" t="s">
        <v>853</v>
      </c>
      <c r="Z92" s="74" t="s">
        <v>683</v>
      </c>
      <c r="AA92" s="47" t="s">
        <v>641</v>
      </c>
      <c r="AB92" s="47" t="s">
        <v>642</v>
      </c>
      <c r="AC92" s="74" t="s">
        <v>854</v>
      </c>
      <c r="AD92" s="47" t="s">
        <v>2333</v>
      </c>
    </row>
    <row r="93" spans="1:30" s="82" customFormat="1" ht="125.25" customHeight="1">
      <c r="A93" s="70">
        <f t="shared" si="1"/>
        <v>90</v>
      </c>
      <c r="B93" s="71" t="s">
        <v>2320</v>
      </c>
      <c r="C93" s="47" t="s">
        <v>855</v>
      </c>
      <c r="D93" s="47" t="s">
        <v>856</v>
      </c>
      <c r="E93" s="47" t="s">
        <v>631</v>
      </c>
      <c r="F93" s="47" t="s">
        <v>7</v>
      </c>
      <c r="G93" s="47" t="s">
        <v>39</v>
      </c>
      <c r="H93" s="47" t="s">
        <v>857</v>
      </c>
      <c r="I93" s="47" t="s">
        <v>630</v>
      </c>
      <c r="J93" s="47" t="s">
        <v>858</v>
      </c>
      <c r="K93" s="72" t="s">
        <v>2236</v>
      </c>
      <c r="L93" s="47" t="s">
        <v>39</v>
      </c>
      <c r="M93" s="47" t="s">
        <v>631</v>
      </c>
      <c r="N93" s="47" t="s">
        <v>632</v>
      </c>
      <c r="O93" s="47" t="s">
        <v>633</v>
      </c>
      <c r="P93" s="47" t="s">
        <v>705</v>
      </c>
      <c r="Q93" s="47" t="s">
        <v>706</v>
      </c>
      <c r="R93" s="47" t="s">
        <v>662</v>
      </c>
      <c r="S93" s="47" t="s">
        <v>636</v>
      </c>
      <c r="T93" s="47" t="s">
        <v>631</v>
      </c>
      <c r="U93" s="47" t="s">
        <v>631</v>
      </c>
      <c r="V93" s="47" t="s">
        <v>631</v>
      </c>
      <c r="W93" s="47" t="s">
        <v>631</v>
      </c>
      <c r="X93" s="73" t="s">
        <v>631</v>
      </c>
      <c r="Y93" s="74" t="s">
        <v>2237</v>
      </c>
      <c r="Z93" s="74" t="s">
        <v>683</v>
      </c>
      <c r="AA93" s="47" t="s">
        <v>641</v>
      </c>
      <c r="AB93" s="47" t="s">
        <v>642</v>
      </c>
      <c r="AC93" s="74" t="s">
        <v>859</v>
      </c>
      <c r="AD93" s="47" t="s">
        <v>2334</v>
      </c>
    </row>
    <row r="94" spans="1:30" s="82" customFormat="1" ht="125.25" customHeight="1">
      <c r="A94" s="70">
        <f t="shared" si="1"/>
        <v>91</v>
      </c>
      <c r="B94" s="71" t="s">
        <v>861</v>
      </c>
      <c r="C94" s="47" t="s">
        <v>862</v>
      </c>
      <c r="D94" s="47" t="s">
        <v>863</v>
      </c>
      <c r="E94" s="47">
        <v>2000</v>
      </c>
      <c r="F94" s="47" t="s">
        <v>7</v>
      </c>
      <c r="G94" s="47" t="s">
        <v>39</v>
      </c>
      <c r="H94" s="47" t="s">
        <v>768</v>
      </c>
      <c r="I94" s="47" t="s">
        <v>630</v>
      </c>
      <c r="J94" s="47" t="s">
        <v>860</v>
      </c>
      <c r="K94" s="72" t="s">
        <v>2238</v>
      </c>
      <c r="L94" s="47" t="s">
        <v>738</v>
      </c>
      <c r="M94" s="47" t="s">
        <v>7</v>
      </c>
      <c r="N94" s="47" t="s">
        <v>632</v>
      </c>
      <c r="O94" s="47" t="s">
        <v>633</v>
      </c>
      <c r="P94" s="47" t="s">
        <v>864</v>
      </c>
      <c r="Q94" s="47" t="s">
        <v>865</v>
      </c>
      <c r="R94" s="47" t="s">
        <v>636</v>
      </c>
      <c r="S94" s="47" t="s">
        <v>739</v>
      </c>
      <c r="T94" s="47" t="s">
        <v>822</v>
      </c>
      <c r="U94" s="47" t="s">
        <v>822</v>
      </c>
      <c r="V94" s="47" t="s">
        <v>866</v>
      </c>
      <c r="W94" s="47" t="s">
        <v>867</v>
      </c>
      <c r="X94" s="73" t="s">
        <v>868</v>
      </c>
      <c r="Y94" s="74" t="s">
        <v>2239</v>
      </c>
      <c r="Z94" s="74" t="s">
        <v>869</v>
      </c>
      <c r="AA94" s="47" t="s">
        <v>683</v>
      </c>
      <c r="AB94" s="47" t="s">
        <v>641</v>
      </c>
      <c r="AC94" s="74" t="s">
        <v>642</v>
      </c>
      <c r="AD94" s="47" t="s">
        <v>870</v>
      </c>
    </row>
    <row r="95" spans="1:30" s="82" customFormat="1" ht="125.25" customHeight="1">
      <c r="A95" s="70">
        <f t="shared" si="1"/>
        <v>92</v>
      </c>
      <c r="B95" s="71" t="s">
        <v>871</v>
      </c>
      <c r="C95" s="47" t="s">
        <v>872</v>
      </c>
      <c r="D95" s="47" t="s">
        <v>873</v>
      </c>
      <c r="E95" s="47">
        <v>1992</v>
      </c>
      <c r="F95" s="47" t="s">
        <v>7</v>
      </c>
      <c r="G95" s="47" t="s">
        <v>39</v>
      </c>
      <c r="H95" s="47" t="s">
        <v>768</v>
      </c>
      <c r="I95" s="47" t="s">
        <v>630</v>
      </c>
      <c r="J95" s="47" t="s">
        <v>874</v>
      </c>
      <c r="K95" s="72" t="s">
        <v>2240</v>
      </c>
      <c r="L95" s="47" t="s">
        <v>7</v>
      </c>
      <c r="M95" s="47" t="s">
        <v>738</v>
      </c>
      <c r="N95" s="47" t="s">
        <v>875</v>
      </c>
      <c r="O95" s="47" t="s">
        <v>821</v>
      </c>
      <c r="P95" s="47" t="s">
        <v>876</v>
      </c>
      <c r="Q95" s="47" t="s">
        <v>652</v>
      </c>
      <c r="R95" s="47" t="s">
        <v>653</v>
      </c>
      <c r="S95" s="47" t="s">
        <v>636</v>
      </c>
      <c r="T95" s="47" t="s">
        <v>822</v>
      </c>
      <c r="U95" s="47" t="s">
        <v>822</v>
      </c>
      <c r="V95" s="47" t="s">
        <v>631</v>
      </c>
      <c r="W95" s="47" t="s">
        <v>877</v>
      </c>
      <c r="X95" s="73" t="s">
        <v>631</v>
      </c>
      <c r="Y95" s="74" t="s">
        <v>2241</v>
      </c>
      <c r="Z95" s="74" t="s">
        <v>878</v>
      </c>
      <c r="AA95" s="47" t="s">
        <v>683</v>
      </c>
      <c r="AB95" s="47" t="s">
        <v>641</v>
      </c>
      <c r="AC95" s="74" t="s">
        <v>642</v>
      </c>
      <c r="AD95" s="47" t="s">
        <v>879</v>
      </c>
    </row>
    <row r="96" spans="1:30" s="82" customFormat="1" ht="125.25" customHeight="1">
      <c r="A96" s="70">
        <f t="shared" si="1"/>
        <v>93</v>
      </c>
      <c r="B96" s="71" t="s">
        <v>880</v>
      </c>
      <c r="C96" s="47" t="s">
        <v>881</v>
      </c>
      <c r="D96" s="47" t="s">
        <v>882</v>
      </c>
      <c r="E96" s="47">
        <v>1991</v>
      </c>
      <c r="F96" s="47" t="s">
        <v>7</v>
      </c>
      <c r="G96" s="47" t="s">
        <v>27</v>
      </c>
      <c r="H96" s="47" t="s">
        <v>883</v>
      </c>
      <c r="I96" s="47" t="s">
        <v>842</v>
      </c>
      <c r="J96" s="47" t="s">
        <v>884</v>
      </c>
      <c r="K96" s="72" t="s">
        <v>2242</v>
      </c>
      <c r="L96" s="47" t="s">
        <v>738</v>
      </c>
      <c r="M96" s="47" t="s">
        <v>7</v>
      </c>
      <c r="N96" s="47" t="s">
        <v>819</v>
      </c>
      <c r="O96" s="47" t="s">
        <v>679</v>
      </c>
      <c r="P96" s="47" t="s">
        <v>821</v>
      </c>
      <c r="Q96" s="47" t="s">
        <v>739</v>
      </c>
      <c r="R96" s="47" t="s">
        <v>652</v>
      </c>
      <c r="S96" s="47" t="s">
        <v>662</v>
      </c>
      <c r="T96" s="47" t="s">
        <v>822</v>
      </c>
      <c r="U96" s="47" t="s">
        <v>822</v>
      </c>
      <c r="V96" s="47" t="s">
        <v>885</v>
      </c>
      <c r="W96" s="47" t="s">
        <v>886</v>
      </c>
      <c r="X96" s="73" t="s">
        <v>887</v>
      </c>
      <c r="Y96" s="74" t="s">
        <v>2243</v>
      </c>
      <c r="Z96" s="74" t="s">
        <v>888</v>
      </c>
      <c r="AA96" s="47" t="s">
        <v>889</v>
      </c>
      <c r="AB96" s="47" t="s">
        <v>641</v>
      </c>
      <c r="AC96" s="74" t="s">
        <v>642</v>
      </c>
      <c r="AD96" s="47" t="s">
        <v>890</v>
      </c>
    </row>
    <row r="97" spans="1:30" s="82" customFormat="1" ht="125.25" customHeight="1">
      <c r="A97" s="70">
        <f t="shared" si="1"/>
        <v>94</v>
      </c>
      <c r="B97" s="71" t="s">
        <v>891</v>
      </c>
      <c r="C97" s="47" t="s">
        <v>891</v>
      </c>
      <c r="D97" s="47" t="s">
        <v>892</v>
      </c>
      <c r="E97" s="47">
        <v>1946</v>
      </c>
      <c r="F97" s="47" t="s">
        <v>7</v>
      </c>
      <c r="G97" s="47" t="s">
        <v>27</v>
      </c>
      <c r="H97" s="47" t="s">
        <v>661</v>
      </c>
      <c r="I97" s="47" t="s">
        <v>630</v>
      </c>
      <c r="J97" s="47" t="s">
        <v>893</v>
      </c>
      <c r="K97" s="72" t="s">
        <v>894</v>
      </c>
      <c r="L97" s="47" t="s">
        <v>7</v>
      </c>
      <c r="M97" s="47" t="s">
        <v>11</v>
      </c>
      <c r="N97" s="47" t="s">
        <v>721</v>
      </c>
      <c r="O97" s="47" t="s">
        <v>723</v>
      </c>
      <c r="P97" s="47" t="s">
        <v>722</v>
      </c>
      <c r="Q97" s="47" t="s">
        <v>652</v>
      </c>
      <c r="R97" s="47" t="s">
        <v>635</v>
      </c>
      <c r="S97" s="47" t="s">
        <v>653</v>
      </c>
      <c r="T97" s="47" t="s">
        <v>822</v>
      </c>
      <c r="U97" s="47" t="s">
        <v>822</v>
      </c>
      <c r="V97" s="47" t="s">
        <v>895</v>
      </c>
      <c r="W97" s="47" t="s">
        <v>896</v>
      </c>
      <c r="X97" s="73" t="s">
        <v>897</v>
      </c>
      <c r="Y97" s="74" t="s">
        <v>898</v>
      </c>
      <c r="Z97" s="74" t="s">
        <v>899</v>
      </c>
      <c r="AA97" s="47" t="s">
        <v>900</v>
      </c>
      <c r="AB97" s="47" t="s">
        <v>641</v>
      </c>
      <c r="AC97" s="74" t="s">
        <v>642</v>
      </c>
      <c r="AD97" s="47" t="s">
        <v>901</v>
      </c>
    </row>
    <row r="98" spans="1:30" s="82" customFormat="1" ht="125.25" customHeight="1">
      <c r="A98" s="70">
        <f t="shared" si="1"/>
        <v>95</v>
      </c>
      <c r="B98" s="71" t="s">
        <v>1</v>
      </c>
      <c r="C98" s="47" t="s">
        <v>902</v>
      </c>
      <c r="D98" s="47" t="s">
        <v>903</v>
      </c>
      <c r="E98" s="47">
        <v>2006</v>
      </c>
      <c r="F98" s="47" t="s">
        <v>7</v>
      </c>
      <c r="G98" s="47" t="s">
        <v>27</v>
      </c>
      <c r="H98" s="47" t="s">
        <v>661</v>
      </c>
      <c r="I98" s="47" t="s">
        <v>630</v>
      </c>
      <c r="J98" s="47" t="s">
        <v>712</v>
      </c>
      <c r="K98" s="72" t="s">
        <v>2244</v>
      </c>
      <c r="L98" s="47" t="s">
        <v>27</v>
      </c>
      <c r="M98" s="47" t="s">
        <v>7</v>
      </c>
      <c r="N98" s="47" t="s">
        <v>632</v>
      </c>
      <c r="O98" s="47" t="s">
        <v>633</v>
      </c>
      <c r="P98" s="47" t="s">
        <v>705</v>
      </c>
      <c r="Q98" s="47" t="s">
        <v>662</v>
      </c>
      <c r="R98" s="47" t="s">
        <v>706</v>
      </c>
      <c r="S98" s="47" t="s">
        <v>636</v>
      </c>
      <c r="T98" s="47" t="s">
        <v>822</v>
      </c>
      <c r="U98" s="47" t="s">
        <v>822</v>
      </c>
      <c r="V98" s="47" t="s">
        <v>631</v>
      </c>
      <c r="W98" s="47" t="s">
        <v>904</v>
      </c>
      <c r="X98" s="73" t="s">
        <v>631</v>
      </c>
      <c r="Y98" s="74" t="s">
        <v>905</v>
      </c>
      <c r="Z98" s="74" t="s">
        <v>906</v>
      </c>
      <c r="AA98" s="47" t="s">
        <v>683</v>
      </c>
      <c r="AB98" s="47" t="s">
        <v>641</v>
      </c>
      <c r="AC98" s="74" t="s">
        <v>642</v>
      </c>
      <c r="AD98" s="47" t="s">
        <v>907</v>
      </c>
    </row>
    <row r="99" spans="1:30" s="82" customFormat="1" ht="125.25" customHeight="1">
      <c r="A99" s="70">
        <f t="shared" si="1"/>
        <v>96</v>
      </c>
      <c r="B99" s="71" t="s">
        <v>908</v>
      </c>
      <c r="C99" s="47" t="s">
        <v>909</v>
      </c>
      <c r="D99" s="47" t="s">
        <v>910</v>
      </c>
      <c r="E99" s="47">
        <v>2009</v>
      </c>
      <c r="F99" s="47" t="s">
        <v>7</v>
      </c>
      <c r="G99" s="47" t="s">
        <v>27</v>
      </c>
      <c r="H99" s="47" t="s">
        <v>661</v>
      </c>
      <c r="I99" s="47" t="s">
        <v>630</v>
      </c>
      <c r="J99" s="47" t="s">
        <v>911</v>
      </c>
      <c r="K99" s="72" t="s">
        <v>2245</v>
      </c>
      <c r="L99" s="47" t="s">
        <v>27</v>
      </c>
      <c r="M99" s="47" t="s">
        <v>738</v>
      </c>
      <c r="N99" s="47" t="s">
        <v>632</v>
      </c>
      <c r="O99" s="47" t="s">
        <v>633</v>
      </c>
      <c r="P99" s="47" t="s">
        <v>634</v>
      </c>
      <c r="Q99" s="47" t="s">
        <v>739</v>
      </c>
      <c r="R99" s="47" t="s">
        <v>706</v>
      </c>
      <c r="S99" s="47" t="s">
        <v>653</v>
      </c>
      <c r="T99" s="47" t="s">
        <v>822</v>
      </c>
      <c r="U99" s="47" t="s">
        <v>822</v>
      </c>
      <c r="V99" s="47" t="s">
        <v>912</v>
      </c>
      <c r="W99" s="47" t="s">
        <v>913</v>
      </c>
      <c r="X99" s="73" t="s">
        <v>914</v>
      </c>
      <c r="Y99" s="74" t="s">
        <v>2246</v>
      </c>
      <c r="Z99" s="74" t="s">
        <v>915</v>
      </c>
      <c r="AA99" s="47" t="s">
        <v>683</v>
      </c>
      <c r="AB99" s="47" t="s">
        <v>641</v>
      </c>
      <c r="AC99" s="74" t="s">
        <v>642</v>
      </c>
      <c r="AD99" s="47" t="s">
        <v>916</v>
      </c>
    </row>
    <row r="100" spans="1:30" s="82" customFormat="1" ht="125.25" customHeight="1">
      <c r="A100" s="70">
        <f t="shared" si="1"/>
        <v>97</v>
      </c>
      <c r="B100" s="71" t="s">
        <v>917</v>
      </c>
      <c r="C100" s="47" t="s">
        <v>918</v>
      </c>
      <c r="D100" s="47" t="s">
        <v>919</v>
      </c>
      <c r="E100" s="47">
        <v>1999</v>
      </c>
      <c r="F100" s="47" t="s">
        <v>7</v>
      </c>
      <c r="G100" s="47" t="s">
        <v>27</v>
      </c>
      <c r="H100" s="47" t="s">
        <v>661</v>
      </c>
      <c r="I100" s="47" t="s">
        <v>630</v>
      </c>
      <c r="J100" s="47" t="s">
        <v>920</v>
      </c>
      <c r="K100" s="72" t="s">
        <v>2247</v>
      </c>
      <c r="L100" s="47" t="s">
        <v>27</v>
      </c>
      <c r="M100" s="47" t="s">
        <v>738</v>
      </c>
      <c r="N100" s="47" t="s">
        <v>632</v>
      </c>
      <c r="O100" s="47" t="s">
        <v>633</v>
      </c>
      <c r="P100" s="47" t="s">
        <v>705</v>
      </c>
      <c r="Q100" s="47" t="s">
        <v>739</v>
      </c>
      <c r="R100" s="47" t="s">
        <v>865</v>
      </c>
      <c r="S100" s="47" t="s">
        <v>653</v>
      </c>
      <c r="T100" s="47" t="s">
        <v>822</v>
      </c>
      <c r="U100" s="47" t="s">
        <v>822</v>
      </c>
      <c r="V100" s="47" t="s">
        <v>921</v>
      </c>
      <c r="W100" s="47" t="s">
        <v>922</v>
      </c>
      <c r="X100" s="73" t="s">
        <v>923</v>
      </c>
      <c r="Y100" s="74" t="s">
        <v>2248</v>
      </c>
      <c r="Z100" s="74" t="s">
        <v>924</v>
      </c>
      <c r="AA100" s="47" t="s">
        <v>683</v>
      </c>
      <c r="AB100" s="47" t="s">
        <v>641</v>
      </c>
      <c r="AC100" s="74" t="s">
        <v>642</v>
      </c>
      <c r="AD100" s="47" t="s">
        <v>925</v>
      </c>
    </row>
    <row r="101" spans="1:30" s="82" customFormat="1" ht="125.25" customHeight="1">
      <c r="A101" s="70">
        <f t="shared" si="1"/>
        <v>98</v>
      </c>
      <c r="B101" s="71" t="s">
        <v>926</v>
      </c>
      <c r="C101" s="47" t="s">
        <v>927</v>
      </c>
      <c r="D101" s="47" t="s">
        <v>928</v>
      </c>
      <c r="E101" s="47">
        <v>1996</v>
      </c>
      <c r="F101" s="47" t="s">
        <v>7</v>
      </c>
      <c r="G101" s="47" t="s">
        <v>27</v>
      </c>
      <c r="H101" s="47" t="s">
        <v>661</v>
      </c>
      <c r="I101" s="47" t="s">
        <v>630</v>
      </c>
      <c r="J101" s="47" t="s">
        <v>712</v>
      </c>
      <c r="K101" s="72" t="s">
        <v>2249</v>
      </c>
      <c r="L101" s="47" t="s">
        <v>27</v>
      </c>
      <c r="M101" s="47" t="s">
        <v>762</v>
      </c>
      <c r="N101" s="47" t="s">
        <v>779</v>
      </c>
      <c r="O101" s="47" t="s">
        <v>679</v>
      </c>
      <c r="P101" s="47" t="s">
        <v>780</v>
      </c>
      <c r="Q101" s="47" t="s">
        <v>865</v>
      </c>
      <c r="R101" s="47" t="s">
        <v>636</v>
      </c>
      <c r="S101" s="47" t="s">
        <v>637</v>
      </c>
      <c r="T101" s="47" t="s">
        <v>822</v>
      </c>
      <c r="U101" s="47" t="s">
        <v>822</v>
      </c>
      <c r="V101" s="47" t="s">
        <v>929</v>
      </c>
      <c r="W101" s="47" t="s">
        <v>930</v>
      </c>
      <c r="X101" s="73" t="s">
        <v>931</v>
      </c>
      <c r="Y101" s="74" t="s">
        <v>932</v>
      </c>
      <c r="Z101" s="74" t="s">
        <v>933</v>
      </c>
      <c r="AA101" s="47" t="s">
        <v>683</v>
      </c>
      <c r="AB101" s="47" t="s">
        <v>641</v>
      </c>
      <c r="AC101" s="74" t="s">
        <v>642</v>
      </c>
      <c r="AD101" s="47" t="s">
        <v>934</v>
      </c>
    </row>
    <row r="102" spans="1:30" s="82" customFormat="1" ht="125.25" customHeight="1">
      <c r="A102" s="70">
        <f t="shared" si="1"/>
        <v>99</v>
      </c>
      <c r="B102" s="71" t="s">
        <v>2321</v>
      </c>
      <c r="C102" s="47" t="s">
        <v>935</v>
      </c>
      <c r="D102" s="47" t="s">
        <v>935</v>
      </c>
      <c r="E102" s="47">
        <v>1971</v>
      </c>
      <c r="F102" s="47" t="s">
        <v>7</v>
      </c>
      <c r="G102" s="47" t="s">
        <v>39</v>
      </c>
      <c r="H102" s="47" t="s">
        <v>936</v>
      </c>
      <c r="I102" s="47" t="s">
        <v>630</v>
      </c>
      <c r="J102" s="47" t="s">
        <v>712</v>
      </c>
      <c r="K102" s="72" t="s">
        <v>937</v>
      </c>
      <c r="L102" s="47" t="s">
        <v>39</v>
      </c>
      <c r="M102" s="47" t="s">
        <v>631</v>
      </c>
      <c r="N102" s="47" t="s">
        <v>721</v>
      </c>
      <c r="O102" s="47" t="s">
        <v>723</v>
      </c>
      <c r="P102" s="47" t="s">
        <v>938</v>
      </c>
      <c r="Q102" s="47" t="s">
        <v>662</v>
      </c>
      <c r="R102" s="47" t="s">
        <v>653</v>
      </c>
      <c r="S102" s="47" t="s">
        <v>715</v>
      </c>
      <c r="T102" s="47" t="s">
        <v>822</v>
      </c>
      <c r="U102" s="47" t="s">
        <v>822</v>
      </c>
      <c r="V102" s="47" t="s">
        <v>631</v>
      </c>
      <c r="W102" s="47" t="s">
        <v>939</v>
      </c>
      <c r="X102" s="73" t="s">
        <v>631</v>
      </c>
      <c r="Y102" s="74" t="s">
        <v>940</v>
      </c>
      <c r="Z102" s="74" t="s">
        <v>683</v>
      </c>
      <c r="AA102" s="47" t="s">
        <v>641</v>
      </c>
      <c r="AB102" s="47" t="s">
        <v>642</v>
      </c>
      <c r="AC102" s="74" t="s">
        <v>941</v>
      </c>
      <c r="AD102" s="47" t="s">
        <v>2335</v>
      </c>
    </row>
    <row r="103" spans="1:30" s="82" customFormat="1" ht="125.25" customHeight="1">
      <c r="A103" s="70">
        <f t="shared" si="1"/>
        <v>100</v>
      </c>
      <c r="B103" s="71" t="s">
        <v>942</v>
      </c>
      <c r="C103" s="47" t="s">
        <v>942</v>
      </c>
      <c r="D103" s="47" t="s">
        <v>943</v>
      </c>
      <c r="E103" s="47">
        <v>1978</v>
      </c>
      <c r="F103" s="47" t="s">
        <v>7</v>
      </c>
      <c r="G103" s="47" t="s">
        <v>39</v>
      </c>
      <c r="H103" s="47" t="s">
        <v>768</v>
      </c>
      <c r="I103" s="47" t="s">
        <v>630</v>
      </c>
      <c r="J103" s="47" t="s">
        <v>712</v>
      </c>
      <c r="K103" s="72" t="s">
        <v>2250</v>
      </c>
      <c r="L103" s="47" t="s">
        <v>738</v>
      </c>
      <c r="M103" s="47" t="s">
        <v>7</v>
      </c>
      <c r="N103" s="47" t="s">
        <v>769</v>
      </c>
      <c r="O103" s="47" t="s">
        <v>821</v>
      </c>
      <c r="P103" s="47" t="s">
        <v>944</v>
      </c>
      <c r="Q103" s="47" t="s">
        <v>637</v>
      </c>
      <c r="R103" s="47" t="s">
        <v>706</v>
      </c>
      <c r="S103" s="47" t="s">
        <v>653</v>
      </c>
      <c r="T103" s="47" t="s">
        <v>822</v>
      </c>
      <c r="U103" s="47" t="s">
        <v>822</v>
      </c>
      <c r="V103" s="47" t="s">
        <v>945</v>
      </c>
      <c r="W103" s="47" t="s">
        <v>946</v>
      </c>
      <c r="X103" s="73" t="s">
        <v>947</v>
      </c>
      <c r="Y103" s="74" t="s">
        <v>948</v>
      </c>
      <c r="Z103" s="74" t="s">
        <v>949</v>
      </c>
      <c r="AA103" s="47" t="s">
        <v>683</v>
      </c>
      <c r="AB103" s="47" t="s">
        <v>641</v>
      </c>
      <c r="AC103" s="74" t="s">
        <v>642</v>
      </c>
      <c r="AD103" s="47" t="s">
        <v>950</v>
      </c>
    </row>
    <row r="104" spans="1:30" s="82" customFormat="1" ht="125.25" customHeight="1">
      <c r="A104" s="70">
        <f t="shared" si="1"/>
        <v>101</v>
      </c>
      <c r="B104" s="71" t="s">
        <v>951</v>
      </c>
      <c r="C104" s="47" t="s">
        <v>952</v>
      </c>
      <c r="D104" s="47" t="s">
        <v>953</v>
      </c>
      <c r="E104" s="47">
        <v>2011</v>
      </c>
      <c r="F104" s="47" t="s">
        <v>7</v>
      </c>
      <c r="G104" s="47" t="s">
        <v>39</v>
      </c>
      <c r="H104" s="47" t="s">
        <v>954</v>
      </c>
      <c r="I104" s="47" t="s">
        <v>630</v>
      </c>
      <c r="J104" s="47" t="s">
        <v>955</v>
      </c>
      <c r="K104" s="72" t="s">
        <v>2251</v>
      </c>
      <c r="L104" s="47" t="s">
        <v>762</v>
      </c>
      <c r="M104" s="47" t="s">
        <v>631</v>
      </c>
      <c r="N104" s="47" t="s">
        <v>632</v>
      </c>
      <c r="O104" s="47" t="s">
        <v>705</v>
      </c>
      <c r="P104" s="47" t="s">
        <v>713</v>
      </c>
      <c r="Q104" s="47" t="s">
        <v>637</v>
      </c>
      <c r="R104" s="47" t="s">
        <v>706</v>
      </c>
      <c r="S104" s="47" t="s">
        <v>662</v>
      </c>
      <c r="T104" s="47" t="s">
        <v>822</v>
      </c>
      <c r="U104" s="47" t="s">
        <v>822</v>
      </c>
      <c r="V104" s="47" t="s">
        <v>956</v>
      </c>
      <c r="W104" s="47" t="s">
        <v>957</v>
      </c>
      <c r="X104" s="73" t="s">
        <v>631</v>
      </c>
      <c r="Y104" s="74" t="s">
        <v>958</v>
      </c>
      <c r="Z104" s="74" t="s">
        <v>959</v>
      </c>
      <c r="AA104" s="47" t="s">
        <v>683</v>
      </c>
      <c r="AB104" s="47" t="s">
        <v>641</v>
      </c>
      <c r="AC104" s="74" t="s">
        <v>642</v>
      </c>
      <c r="AD104" s="47" t="s">
        <v>960</v>
      </c>
    </row>
    <row r="105" spans="1:30" s="82" customFormat="1" ht="125.25" customHeight="1">
      <c r="A105" s="70">
        <f t="shared" si="1"/>
        <v>102</v>
      </c>
      <c r="B105" s="71" t="s">
        <v>961</v>
      </c>
      <c r="C105" s="47" t="s">
        <v>961</v>
      </c>
      <c r="D105" s="47" t="s">
        <v>962</v>
      </c>
      <c r="E105" s="47">
        <v>1983</v>
      </c>
      <c r="F105" s="47" t="s">
        <v>7</v>
      </c>
      <c r="G105" s="47" t="s">
        <v>39</v>
      </c>
      <c r="H105" s="47" t="s">
        <v>768</v>
      </c>
      <c r="I105" s="47" t="s">
        <v>630</v>
      </c>
      <c r="J105" s="47" t="s">
        <v>963</v>
      </c>
      <c r="K105" s="72" t="s">
        <v>2252</v>
      </c>
      <c r="L105" s="47" t="s">
        <v>738</v>
      </c>
      <c r="M105" s="47" t="s">
        <v>7</v>
      </c>
      <c r="N105" s="47" t="s">
        <v>632</v>
      </c>
      <c r="O105" s="47" t="s">
        <v>679</v>
      </c>
      <c r="P105" s="47" t="s">
        <v>964</v>
      </c>
      <c r="Q105" s="47" t="s">
        <v>652</v>
      </c>
      <c r="R105" s="47" t="s">
        <v>706</v>
      </c>
      <c r="S105" s="47" t="s">
        <v>637</v>
      </c>
      <c r="T105" s="47" t="s">
        <v>822</v>
      </c>
      <c r="U105" s="47" t="s">
        <v>822</v>
      </c>
      <c r="V105" s="47" t="s">
        <v>965</v>
      </c>
      <c r="W105" s="47" t="s">
        <v>966</v>
      </c>
      <c r="X105" s="73" t="s">
        <v>967</v>
      </c>
      <c r="Y105" s="74" t="s">
        <v>2253</v>
      </c>
      <c r="Z105" s="74" t="s">
        <v>968</v>
      </c>
      <c r="AA105" s="47" t="s">
        <v>683</v>
      </c>
      <c r="AB105" s="47" t="s">
        <v>641</v>
      </c>
      <c r="AC105" s="74" t="s">
        <v>642</v>
      </c>
      <c r="AD105" s="47" t="s">
        <v>969</v>
      </c>
    </row>
    <row r="106" spans="1:30" s="82" customFormat="1" ht="125.25" customHeight="1">
      <c r="A106" s="70">
        <f t="shared" si="1"/>
        <v>103</v>
      </c>
      <c r="B106" s="71" t="s">
        <v>970</v>
      </c>
      <c r="C106" s="47" t="s">
        <v>970</v>
      </c>
      <c r="D106" s="47" t="s">
        <v>971</v>
      </c>
      <c r="E106" s="47" t="s">
        <v>2254</v>
      </c>
      <c r="F106" s="47" t="s">
        <v>7</v>
      </c>
      <c r="G106" s="47" t="s">
        <v>27</v>
      </c>
      <c r="H106" s="47" t="s">
        <v>661</v>
      </c>
      <c r="I106" s="47" t="s">
        <v>630</v>
      </c>
      <c r="J106" s="47" t="s">
        <v>712</v>
      </c>
      <c r="K106" s="72" t="s">
        <v>972</v>
      </c>
      <c r="L106" s="47" t="s">
        <v>27</v>
      </c>
      <c r="M106" s="47" t="s">
        <v>7</v>
      </c>
      <c r="N106" s="47" t="s">
        <v>721</v>
      </c>
      <c r="O106" s="47" t="s">
        <v>723</v>
      </c>
      <c r="P106" s="47" t="s">
        <v>722</v>
      </c>
      <c r="Q106" s="47" t="s">
        <v>637</v>
      </c>
      <c r="R106" s="47" t="s">
        <v>706</v>
      </c>
      <c r="S106" s="47" t="s">
        <v>662</v>
      </c>
      <c r="T106" s="47" t="s">
        <v>822</v>
      </c>
      <c r="U106" s="47" t="s">
        <v>822</v>
      </c>
      <c r="V106" s="47" t="s">
        <v>973</v>
      </c>
      <c r="W106" s="47" t="s">
        <v>974</v>
      </c>
      <c r="X106" s="73" t="s">
        <v>975</v>
      </c>
      <c r="Y106" s="74" t="s">
        <v>976</v>
      </c>
      <c r="Z106" s="74" t="s">
        <v>977</v>
      </c>
      <c r="AA106" s="47" t="s">
        <v>683</v>
      </c>
      <c r="AB106" s="47" t="s">
        <v>641</v>
      </c>
      <c r="AC106" s="74" t="s">
        <v>642</v>
      </c>
      <c r="AD106" s="47" t="s">
        <v>978</v>
      </c>
    </row>
    <row r="107" spans="1:30" s="82" customFormat="1" ht="125.25" customHeight="1">
      <c r="A107" s="70">
        <f t="shared" si="1"/>
        <v>104</v>
      </c>
      <c r="B107" s="71" t="s">
        <v>979</v>
      </c>
      <c r="C107" s="47" t="s">
        <v>980</v>
      </c>
      <c r="D107" s="47" t="s">
        <v>981</v>
      </c>
      <c r="E107" s="47">
        <v>2002</v>
      </c>
      <c r="F107" s="47" t="s">
        <v>7</v>
      </c>
      <c r="G107" s="47" t="s">
        <v>39</v>
      </c>
      <c r="H107" s="47" t="s">
        <v>768</v>
      </c>
      <c r="I107" s="47" t="s">
        <v>630</v>
      </c>
      <c r="J107" s="47" t="s">
        <v>982</v>
      </c>
      <c r="K107" s="72" t="s">
        <v>2255</v>
      </c>
      <c r="L107" s="47" t="s">
        <v>39</v>
      </c>
      <c r="M107" s="47" t="s">
        <v>7</v>
      </c>
      <c r="N107" s="47" t="s">
        <v>779</v>
      </c>
      <c r="O107" s="47" t="s">
        <v>633</v>
      </c>
      <c r="P107" s="47" t="s">
        <v>634</v>
      </c>
      <c r="Q107" s="47" t="s">
        <v>637</v>
      </c>
      <c r="R107" s="47" t="s">
        <v>865</v>
      </c>
      <c r="S107" s="47" t="s">
        <v>706</v>
      </c>
      <c r="T107" s="47" t="s">
        <v>822</v>
      </c>
      <c r="U107" s="47" t="s">
        <v>822</v>
      </c>
      <c r="V107" s="47" t="s">
        <v>983</v>
      </c>
      <c r="W107" s="47" t="s">
        <v>984</v>
      </c>
      <c r="X107" s="73" t="s">
        <v>631</v>
      </c>
      <c r="Y107" s="74" t="s">
        <v>985</v>
      </c>
      <c r="Z107" s="74" t="s">
        <v>986</v>
      </c>
      <c r="AA107" s="47" t="s">
        <v>683</v>
      </c>
      <c r="AB107" s="47" t="s">
        <v>641</v>
      </c>
      <c r="AC107" s="74" t="s">
        <v>642</v>
      </c>
      <c r="AD107" s="47" t="s">
        <v>987</v>
      </c>
    </row>
    <row r="108" spans="1:30" s="82" customFormat="1" ht="125.25" customHeight="1">
      <c r="A108" s="70">
        <f t="shared" si="1"/>
        <v>105</v>
      </c>
      <c r="B108" s="71" t="s">
        <v>988</v>
      </c>
      <c r="C108" s="47" t="s">
        <v>989</v>
      </c>
      <c r="D108" s="47" t="s">
        <v>990</v>
      </c>
      <c r="E108" s="47">
        <v>1972</v>
      </c>
      <c r="F108" s="47" t="s">
        <v>7</v>
      </c>
      <c r="G108" s="47" t="s">
        <v>39</v>
      </c>
      <c r="H108" s="47" t="s">
        <v>768</v>
      </c>
      <c r="I108" s="47" t="s">
        <v>842</v>
      </c>
      <c r="J108" s="47" t="s">
        <v>991</v>
      </c>
      <c r="K108" s="72" t="s">
        <v>2256</v>
      </c>
      <c r="L108" s="47" t="s">
        <v>738</v>
      </c>
      <c r="M108" s="47" t="s">
        <v>7</v>
      </c>
      <c r="N108" s="47" t="s">
        <v>819</v>
      </c>
      <c r="O108" s="47" t="s">
        <v>821</v>
      </c>
      <c r="P108" s="47" t="s">
        <v>731</v>
      </c>
      <c r="Q108" s="47" t="s">
        <v>715</v>
      </c>
      <c r="R108" s="47" t="s">
        <v>662</v>
      </c>
      <c r="S108" s="47" t="s">
        <v>653</v>
      </c>
      <c r="T108" s="47" t="s">
        <v>822</v>
      </c>
      <c r="U108" s="47" t="s">
        <v>822</v>
      </c>
      <c r="V108" s="47" t="s">
        <v>992</v>
      </c>
      <c r="W108" s="47" t="s">
        <v>993</v>
      </c>
      <c r="X108" s="73" t="s">
        <v>994</v>
      </c>
      <c r="Y108" s="74" t="s">
        <v>995</v>
      </c>
      <c r="Z108" s="74" t="s">
        <v>996</v>
      </c>
      <c r="AA108" s="47" t="s">
        <v>997</v>
      </c>
      <c r="AB108" s="47" t="s">
        <v>641</v>
      </c>
      <c r="AC108" s="74" t="s">
        <v>642</v>
      </c>
      <c r="AD108" s="47" t="s">
        <v>998</v>
      </c>
    </row>
    <row r="109" spans="1:30" s="82" customFormat="1" ht="125.25" customHeight="1">
      <c r="A109" s="70">
        <f t="shared" si="1"/>
        <v>106</v>
      </c>
      <c r="B109" s="71" t="s">
        <v>999</v>
      </c>
      <c r="C109" s="47" t="s">
        <v>1000</v>
      </c>
      <c r="D109" s="47" t="s">
        <v>1001</v>
      </c>
      <c r="E109" s="47">
        <v>1989</v>
      </c>
      <c r="F109" s="47" t="s">
        <v>7</v>
      </c>
      <c r="G109" s="47" t="s">
        <v>39</v>
      </c>
      <c r="H109" s="47" t="s">
        <v>768</v>
      </c>
      <c r="I109" s="47" t="s">
        <v>630</v>
      </c>
      <c r="J109" s="47" t="s">
        <v>1002</v>
      </c>
      <c r="K109" s="72" t="s">
        <v>2257</v>
      </c>
      <c r="L109" s="47" t="s">
        <v>762</v>
      </c>
      <c r="M109" s="47" t="s">
        <v>631</v>
      </c>
      <c r="N109" s="47" t="s">
        <v>769</v>
      </c>
      <c r="O109" s="47" t="s">
        <v>821</v>
      </c>
      <c r="P109" s="47" t="s">
        <v>731</v>
      </c>
      <c r="Q109" s="47" t="s">
        <v>715</v>
      </c>
      <c r="R109" s="47" t="s">
        <v>662</v>
      </c>
      <c r="S109" s="47" t="s">
        <v>706</v>
      </c>
      <c r="T109" s="47" t="s">
        <v>822</v>
      </c>
      <c r="U109" s="47" t="s">
        <v>822</v>
      </c>
      <c r="V109" s="47" t="s">
        <v>631</v>
      </c>
      <c r="W109" s="47" t="s">
        <v>1003</v>
      </c>
      <c r="X109" s="73" t="s">
        <v>631</v>
      </c>
      <c r="Y109" s="74" t="s">
        <v>2258</v>
      </c>
      <c r="Z109" s="74" t="s">
        <v>1004</v>
      </c>
      <c r="AA109" s="47" t="s">
        <v>1005</v>
      </c>
      <c r="AB109" s="47" t="s">
        <v>641</v>
      </c>
      <c r="AC109" s="74" t="s">
        <v>1006</v>
      </c>
      <c r="AD109" s="47" t="s">
        <v>1007</v>
      </c>
    </row>
    <row r="110" spans="1:30" s="82" customFormat="1" ht="125.25" customHeight="1">
      <c r="A110" s="70">
        <f t="shared" si="1"/>
        <v>107</v>
      </c>
      <c r="B110" s="71" t="s">
        <v>1008</v>
      </c>
      <c r="C110" s="47" t="s">
        <v>1009</v>
      </c>
      <c r="D110" s="47" t="s">
        <v>1010</v>
      </c>
      <c r="E110" s="47">
        <v>1986</v>
      </c>
      <c r="F110" s="47" t="s">
        <v>7</v>
      </c>
      <c r="G110" s="47" t="s">
        <v>39</v>
      </c>
      <c r="H110" s="47" t="s">
        <v>768</v>
      </c>
      <c r="I110" s="47" t="s">
        <v>630</v>
      </c>
      <c r="J110" s="47" t="s">
        <v>1011</v>
      </c>
      <c r="K110" s="72" t="s">
        <v>2259</v>
      </c>
      <c r="L110" s="47" t="s">
        <v>7</v>
      </c>
      <c r="M110" s="47" t="s">
        <v>738</v>
      </c>
      <c r="N110" s="47" t="s">
        <v>769</v>
      </c>
      <c r="O110" s="47" t="s">
        <v>821</v>
      </c>
      <c r="P110" s="47" t="s">
        <v>1012</v>
      </c>
      <c r="Q110" s="47" t="s">
        <v>706</v>
      </c>
      <c r="R110" s="47" t="s">
        <v>652</v>
      </c>
      <c r="S110" s="47" t="s">
        <v>680</v>
      </c>
      <c r="T110" s="47" t="s">
        <v>822</v>
      </c>
      <c r="U110" s="47" t="s">
        <v>822</v>
      </c>
      <c r="V110" s="47" t="s">
        <v>1013</v>
      </c>
      <c r="W110" s="47" t="s">
        <v>1014</v>
      </c>
      <c r="X110" s="73" t="s">
        <v>1015</v>
      </c>
      <c r="Y110" s="74" t="s">
        <v>2260</v>
      </c>
      <c r="Z110" s="74" t="s">
        <v>1016</v>
      </c>
      <c r="AA110" s="47" t="s">
        <v>1017</v>
      </c>
      <c r="AB110" s="47" t="s">
        <v>641</v>
      </c>
      <c r="AC110" s="74" t="s">
        <v>642</v>
      </c>
      <c r="AD110" s="47" t="s">
        <v>1018</v>
      </c>
    </row>
    <row r="111" spans="1:30" s="82" customFormat="1" ht="125.25" customHeight="1">
      <c r="A111" s="70">
        <f t="shared" si="1"/>
        <v>108</v>
      </c>
      <c r="B111" s="57" t="s">
        <v>1019</v>
      </c>
      <c r="C111" s="70" t="s">
        <v>1020</v>
      </c>
      <c r="D111" s="70" t="s">
        <v>1021</v>
      </c>
      <c r="E111" s="70" t="s">
        <v>631</v>
      </c>
      <c r="F111" s="70" t="s">
        <v>11</v>
      </c>
      <c r="G111" s="70" t="s">
        <v>153</v>
      </c>
      <c r="H111" s="70" t="s">
        <v>631</v>
      </c>
      <c r="I111" s="70" t="s">
        <v>630</v>
      </c>
      <c r="J111" s="70" t="s">
        <v>631</v>
      </c>
      <c r="K111" s="78" t="s">
        <v>1022</v>
      </c>
      <c r="L111" s="70" t="s">
        <v>11</v>
      </c>
      <c r="M111" s="70" t="s">
        <v>1023</v>
      </c>
      <c r="N111" s="70" t="s">
        <v>632</v>
      </c>
      <c r="O111" s="70" t="s">
        <v>679</v>
      </c>
      <c r="P111" s="70" t="s">
        <v>582</v>
      </c>
      <c r="Q111" s="70" t="s">
        <v>680</v>
      </c>
      <c r="R111" s="70" t="s">
        <v>636</v>
      </c>
      <c r="S111" s="70" t="s">
        <v>582</v>
      </c>
      <c r="T111" s="70" t="s">
        <v>582</v>
      </c>
      <c r="U111" s="70" t="s">
        <v>582</v>
      </c>
      <c r="V111" s="70" t="s">
        <v>582</v>
      </c>
      <c r="W111" s="70" t="s">
        <v>582</v>
      </c>
      <c r="X111" s="79" t="s">
        <v>631</v>
      </c>
      <c r="Y111" s="80" t="s">
        <v>631</v>
      </c>
      <c r="Z111" s="80" t="s">
        <v>631</v>
      </c>
      <c r="AA111" s="70" t="s">
        <v>1024</v>
      </c>
      <c r="AB111" s="70" t="s">
        <v>641</v>
      </c>
      <c r="AC111" s="80" t="s">
        <v>642</v>
      </c>
      <c r="AD111" s="70" t="s">
        <v>1025</v>
      </c>
    </row>
    <row r="112" spans="1:30" s="82" customFormat="1" ht="125.25" customHeight="1">
      <c r="A112" s="70">
        <f t="shared" si="1"/>
        <v>109</v>
      </c>
      <c r="B112" s="57" t="s">
        <v>1026</v>
      </c>
      <c r="C112" s="70" t="s">
        <v>1027</v>
      </c>
      <c r="D112" s="70" t="s">
        <v>1028</v>
      </c>
      <c r="E112" s="70">
        <v>1922</v>
      </c>
      <c r="F112" s="70" t="s">
        <v>11</v>
      </c>
      <c r="G112" s="70" t="s">
        <v>169</v>
      </c>
      <c r="H112" s="70" t="s">
        <v>1029</v>
      </c>
      <c r="I112" s="70" t="s">
        <v>630</v>
      </c>
      <c r="J112" s="70" t="s">
        <v>1030</v>
      </c>
      <c r="K112" s="78" t="s">
        <v>2261</v>
      </c>
      <c r="L112" s="70" t="s">
        <v>7</v>
      </c>
      <c r="M112" s="70" t="s">
        <v>11</v>
      </c>
      <c r="N112" s="70" t="s">
        <v>779</v>
      </c>
      <c r="O112" s="70" t="s">
        <v>679</v>
      </c>
      <c r="P112" s="70" t="s">
        <v>1031</v>
      </c>
      <c r="Q112" s="70" t="s">
        <v>637</v>
      </c>
      <c r="R112" s="70" t="s">
        <v>680</v>
      </c>
      <c r="S112" s="70" t="s">
        <v>1032</v>
      </c>
      <c r="T112" s="70" t="s">
        <v>822</v>
      </c>
      <c r="U112" s="70" t="s">
        <v>822</v>
      </c>
      <c r="V112" s="70" t="s">
        <v>1033</v>
      </c>
      <c r="W112" s="70" t="s">
        <v>1034</v>
      </c>
      <c r="X112" s="79" t="s">
        <v>1035</v>
      </c>
      <c r="Y112" s="80" t="s">
        <v>2262</v>
      </c>
      <c r="Z112" s="80" t="s">
        <v>1036</v>
      </c>
      <c r="AA112" s="70" t="s">
        <v>1037</v>
      </c>
      <c r="AB112" s="70" t="s">
        <v>641</v>
      </c>
      <c r="AC112" s="80" t="s">
        <v>642</v>
      </c>
      <c r="AD112" s="70" t="s">
        <v>1038</v>
      </c>
    </row>
    <row r="113" spans="1:30" s="82" customFormat="1" ht="125.25" customHeight="1">
      <c r="A113" s="70">
        <f t="shared" si="1"/>
        <v>110</v>
      </c>
      <c r="B113" s="57" t="s">
        <v>1039</v>
      </c>
      <c r="C113" s="70" t="s">
        <v>1040</v>
      </c>
      <c r="D113" s="70" t="s">
        <v>1041</v>
      </c>
      <c r="E113" s="70">
        <v>1957</v>
      </c>
      <c r="F113" s="70" t="s">
        <v>11</v>
      </c>
      <c r="G113" s="70" t="s">
        <v>154</v>
      </c>
      <c r="H113" s="70" t="s">
        <v>1042</v>
      </c>
      <c r="I113" s="70" t="s">
        <v>630</v>
      </c>
      <c r="J113" s="70" t="s">
        <v>1043</v>
      </c>
      <c r="K113" s="78" t="s">
        <v>2263</v>
      </c>
      <c r="L113" s="70" t="s">
        <v>11</v>
      </c>
      <c r="M113" s="70" t="s">
        <v>738</v>
      </c>
      <c r="N113" s="70" t="s">
        <v>632</v>
      </c>
      <c r="O113" s="70" t="s">
        <v>1044</v>
      </c>
      <c r="P113" s="70" t="s">
        <v>1045</v>
      </c>
      <c r="Q113" s="70" t="s">
        <v>636</v>
      </c>
      <c r="R113" s="70" t="s">
        <v>637</v>
      </c>
      <c r="S113" s="70" t="s">
        <v>662</v>
      </c>
      <c r="T113" s="70" t="s">
        <v>822</v>
      </c>
      <c r="U113" s="70" t="s">
        <v>822</v>
      </c>
      <c r="V113" s="70" t="s">
        <v>1046</v>
      </c>
      <c r="W113" s="70" t="s">
        <v>1047</v>
      </c>
      <c r="X113" s="79" t="s">
        <v>1048</v>
      </c>
      <c r="Y113" s="80" t="s">
        <v>2264</v>
      </c>
      <c r="Z113" s="80" t="s">
        <v>1049</v>
      </c>
      <c r="AA113" s="70" t="s">
        <v>1050</v>
      </c>
      <c r="AB113" s="70" t="s">
        <v>641</v>
      </c>
      <c r="AC113" s="80" t="s">
        <v>642</v>
      </c>
      <c r="AD113" s="70" t="s">
        <v>1051</v>
      </c>
    </row>
    <row r="114" spans="1:30" s="82" customFormat="1" ht="125.25" customHeight="1">
      <c r="A114" s="70">
        <f t="shared" si="1"/>
        <v>111</v>
      </c>
      <c r="B114" s="57" t="s">
        <v>1052</v>
      </c>
      <c r="C114" s="70" t="s">
        <v>1053</v>
      </c>
      <c r="D114" s="70" t="s">
        <v>1054</v>
      </c>
      <c r="E114" s="70" t="s">
        <v>2265</v>
      </c>
      <c r="F114" s="70" t="s">
        <v>12</v>
      </c>
      <c r="G114" s="70" t="s">
        <v>188</v>
      </c>
      <c r="H114" s="70" t="s">
        <v>1055</v>
      </c>
      <c r="I114" s="70" t="s">
        <v>630</v>
      </c>
      <c r="J114" s="70" t="s">
        <v>1056</v>
      </c>
      <c r="K114" s="78" t="s">
        <v>2266</v>
      </c>
      <c r="L114" s="70" t="s">
        <v>12</v>
      </c>
      <c r="M114" s="70" t="s">
        <v>738</v>
      </c>
      <c r="N114" s="70" t="s">
        <v>1057</v>
      </c>
      <c r="O114" s="70" t="s">
        <v>821</v>
      </c>
      <c r="P114" s="70" t="s">
        <v>582</v>
      </c>
      <c r="Q114" s="70" t="s">
        <v>636</v>
      </c>
      <c r="R114" s="70" t="s">
        <v>637</v>
      </c>
      <c r="S114" s="70" t="s">
        <v>1058</v>
      </c>
      <c r="T114" s="70" t="s">
        <v>822</v>
      </c>
      <c r="U114" s="70" t="s">
        <v>822</v>
      </c>
      <c r="V114" s="70" t="s">
        <v>631</v>
      </c>
      <c r="W114" s="70" t="s">
        <v>2267</v>
      </c>
      <c r="X114" s="79" t="s">
        <v>631</v>
      </c>
      <c r="Y114" s="80" t="s">
        <v>2268</v>
      </c>
      <c r="Z114" s="80" t="s">
        <v>1059</v>
      </c>
      <c r="AA114" s="70" t="s">
        <v>1060</v>
      </c>
      <c r="AB114" s="70" t="s">
        <v>641</v>
      </c>
      <c r="AC114" s="80" t="s">
        <v>642</v>
      </c>
      <c r="AD114" s="70" t="s">
        <v>1061</v>
      </c>
    </row>
    <row r="115" spans="1:30" s="82" customFormat="1" ht="125.25" customHeight="1">
      <c r="A115" s="70">
        <f t="shared" si="1"/>
        <v>112</v>
      </c>
      <c r="B115" s="57" t="s">
        <v>1062</v>
      </c>
      <c r="C115" s="70" t="s">
        <v>1063</v>
      </c>
      <c r="D115" s="70" t="s">
        <v>486</v>
      </c>
      <c r="E115" s="70" t="s">
        <v>631</v>
      </c>
      <c r="F115" s="70" t="s">
        <v>11</v>
      </c>
      <c r="G115" s="70" t="s">
        <v>631</v>
      </c>
      <c r="H115" s="70" t="s">
        <v>631</v>
      </c>
      <c r="I115" s="70" t="s">
        <v>630</v>
      </c>
      <c r="J115" s="70" t="s">
        <v>631</v>
      </c>
      <c r="K115" s="78" t="s">
        <v>1064</v>
      </c>
      <c r="L115" s="70" t="s">
        <v>11</v>
      </c>
      <c r="M115" s="70" t="s">
        <v>1023</v>
      </c>
      <c r="N115" s="70" t="s">
        <v>631</v>
      </c>
      <c r="O115" s="70" t="s">
        <v>631</v>
      </c>
      <c r="P115" s="70" t="s">
        <v>582</v>
      </c>
      <c r="Q115" s="70" t="s">
        <v>662</v>
      </c>
      <c r="R115" s="70" t="s">
        <v>1065</v>
      </c>
      <c r="S115" s="70" t="s">
        <v>582</v>
      </c>
      <c r="T115" s="70" t="s">
        <v>582</v>
      </c>
      <c r="U115" s="70" t="s">
        <v>582</v>
      </c>
      <c r="V115" s="70" t="s">
        <v>582</v>
      </c>
      <c r="W115" s="70" t="s">
        <v>582</v>
      </c>
      <c r="X115" s="79" t="s">
        <v>631</v>
      </c>
      <c r="Y115" s="80" t="s">
        <v>631</v>
      </c>
      <c r="Z115" s="80" t="s">
        <v>631</v>
      </c>
      <c r="AA115" s="70" t="s">
        <v>1066</v>
      </c>
      <c r="AB115" s="70" t="s">
        <v>641</v>
      </c>
      <c r="AC115" s="80" t="s">
        <v>642</v>
      </c>
      <c r="AD115" s="70" t="s">
        <v>1067</v>
      </c>
    </row>
    <row r="116" spans="1:30" s="82" customFormat="1" ht="125.25" customHeight="1">
      <c r="A116" s="70">
        <f t="shared" si="1"/>
        <v>113</v>
      </c>
      <c r="B116" s="57" t="s">
        <v>1068</v>
      </c>
      <c r="C116" s="70" t="s">
        <v>1068</v>
      </c>
      <c r="D116" s="70"/>
      <c r="E116" s="70">
        <v>1969</v>
      </c>
      <c r="F116" s="70" t="s">
        <v>11</v>
      </c>
      <c r="G116" s="70" t="s">
        <v>172</v>
      </c>
      <c r="H116" s="70" t="s">
        <v>1069</v>
      </c>
      <c r="I116" s="70" t="s">
        <v>630</v>
      </c>
      <c r="J116" s="70" t="s">
        <v>1070</v>
      </c>
      <c r="K116" s="78" t="s">
        <v>2269</v>
      </c>
      <c r="L116" s="70" t="s">
        <v>11</v>
      </c>
      <c r="M116" s="70" t="s">
        <v>738</v>
      </c>
      <c r="N116" s="70" t="s">
        <v>779</v>
      </c>
      <c r="O116" s="70" t="s">
        <v>821</v>
      </c>
      <c r="P116" s="70" t="s">
        <v>634</v>
      </c>
      <c r="Q116" s="70" t="s">
        <v>635</v>
      </c>
      <c r="R116" s="70" t="s">
        <v>652</v>
      </c>
      <c r="S116" s="70" t="s">
        <v>637</v>
      </c>
      <c r="T116" s="70" t="s">
        <v>822</v>
      </c>
      <c r="U116" s="70" t="s">
        <v>822</v>
      </c>
      <c r="V116" s="70" t="s">
        <v>1071</v>
      </c>
      <c r="W116" s="70" t="s">
        <v>2270</v>
      </c>
      <c r="X116" s="79" t="s">
        <v>631</v>
      </c>
      <c r="Y116" s="80" t="s">
        <v>1072</v>
      </c>
      <c r="Z116" s="80" t="s">
        <v>1073</v>
      </c>
      <c r="AA116" s="70" t="s">
        <v>1074</v>
      </c>
      <c r="AB116" s="70" t="s">
        <v>641</v>
      </c>
      <c r="AC116" s="80" t="s">
        <v>642</v>
      </c>
      <c r="AD116" s="70" t="s">
        <v>1075</v>
      </c>
    </row>
    <row r="117" spans="1:30" s="82" customFormat="1" ht="125.25" customHeight="1">
      <c r="A117" s="70">
        <f t="shared" si="1"/>
        <v>114</v>
      </c>
      <c r="B117" s="57" t="s">
        <v>1076</v>
      </c>
      <c r="C117" s="70" t="s">
        <v>1077</v>
      </c>
      <c r="D117" s="70" t="s">
        <v>1078</v>
      </c>
      <c r="E117" s="70">
        <v>1989</v>
      </c>
      <c r="F117" s="70" t="s">
        <v>11</v>
      </c>
      <c r="G117" s="70" t="s">
        <v>147</v>
      </c>
      <c r="H117" s="70" t="s">
        <v>1079</v>
      </c>
      <c r="I117" s="70" t="s">
        <v>630</v>
      </c>
      <c r="J117" s="70" t="s">
        <v>1080</v>
      </c>
      <c r="K117" s="78" t="s">
        <v>2271</v>
      </c>
      <c r="L117" s="70" t="s">
        <v>11</v>
      </c>
      <c r="M117" s="70" t="s">
        <v>738</v>
      </c>
      <c r="N117" s="70" t="s">
        <v>632</v>
      </c>
      <c r="O117" s="70" t="s">
        <v>633</v>
      </c>
      <c r="P117" s="70" t="s">
        <v>634</v>
      </c>
      <c r="Q117" s="70" t="s">
        <v>652</v>
      </c>
      <c r="R117" s="70" t="s">
        <v>653</v>
      </c>
      <c r="S117" s="70" t="s">
        <v>706</v>
      </c>
      <c r="T117" s="70" t="s">
        <v>822</v>
      </c>
      <c r="U117" s="70" t="s">
        <v>822</v>
      </c>
      <c r="V117" s="70" t="s">
        <v>1081</v>
      </c>
      <c r="W117" s="70" t="s">
        <v>1082</v>
      </c>
      <c r="X117" s="79" t="s">
        <v>1083</v>
      </c>
      <c r="Y117" s="80" t="s">
        <v>2272</v>
      </c>
      <c r="Z117" s="80" t="s">
        <v>1084</v>
      </c>
      <c r="AA117" s="70" t="s">
        <v>1074</v>
      </c>
      <c r="AB117" s="70" t="s">
        <v>641</v>
      </c>
      <c r="AC117" s="80" t="s">
        <v>642</v>
      </c>
      <c r="AD117" s="70" t="s">
        <v>1085</v>
      </c>
    </row>
    <row r="118" spans="1:30" s="82" customFormat="1" ht="125.25" customHeight="1">
      <c r="A118" s="70">
        <f t="shared" si="1"/>
        <v>115</v>
      </c>
      <c r="B118" s="57" t="s">
        <v>1086</v>
      </c>
      <c r="C118" s="70" t="s">
        <v>1087</v>
      </c>
      <c r="D118" s="70" t="s">
        <v>1088</v>
      </c>
      <c r="E118" s="70">
        <v>1945</v>
      </c>
      <c r="F118" s="70" t="s">
        <v>11</v>
      </c>
      <c r="G118" s="70" t="s">
        <v>172</v>
      </c>
      <c r="H118" s="70" t="s">
        <v>1089</v>
      </c>
      <c r="I118" s="70" t="s">
        <v>630</v>
      </c>
      <c r="J118" s="70" t="s">
        <v>1090</v>
      </c>
      <c r="K118" s="78" t="s">
        <v>2273</v>
      </c>
      <c r="L118" s="70" t="s">
        <v>738</v>
      </c>
      <c r="M118" s="70" t="s">
        <v>7</v>
      </c>
      <c r="N118" s="70" t="s">
        <v>632</v>
      </c>
      <c r="O118" s="70" t="s">
        <v>1044</v>
      </c>
      <c r="P118" s="70" t="s">
        <v>679</v>
      </c>
      <c r="Q118" s="70" t="s">
        <v>636</v>
      </c>
      <c r="R118" s="70" t="s">
        <v>680</v>
      </c>
      <c r="S118" s="70" t="s">
        <v>865</v>
      </c>
      <c r="T118" s="70" t="s">
        <v>822</v>
      </c>
      <c r="U118" s="70" t="s">
        <v>822</v>
      </c>
      <c r="V118" s="70" t="s">
        <v>1091</v>
      </c>
      <c r="W118" s="70" t="s">
        <v>1092</v>
      </c>
      <c r="X118" s="79" t="s">
        <v>1093</v>
      </c>
      <c r="Y118" s="80" t="s">
        <v>2274</v>
      </c>
      <c r="Z118" s="80" t="s">
        <v>1094</v>
      </c>
      <c r="AA118" s="70" t="s">
        <v>1095</v>
      </c>
      <c r="AB118" s="70" t="s">
        <v>641</v>
      </c>
      <c r="AC118" s="80" t="s">
        <v>1096</v>
      </c>
      <c r="AD118" s="70" t="s">
        <v>1097</v>
      </c>
    </row>
    <row r="119" spans="1:30" s="82" customFormat="1" ht="125.25" customHeight="1">
      <c r="A119" s="70">
        <f t="shared" si="1"/>
        <v>116</v>
      </c>
      <c r="B119" s="57" t="s">
        <v>1098</v>
      </c>
      <c r="C119" s="70" t="s">
        <v>1098</v>
      </c>
      <c r="D119" s="70" t="s">
        <v>1099</v>
      </c>
      <c r="E119" s="70">
        <v>1964</v>
      </c>
      <c r="F119" s="70" t="s">
        <v>12</v>
      </c>
      <c r="G119" s="70" t="s">
        <v>188</v>
      </c>
      <c r="H119" s="70" t="s">
        <v>1100</v>
      </c>
      <c r="I119" s="70" t="s">
        <v>630</v>
      </c>
      <c r="J119" s="70" t="s">
        <v>874</v>
      </c>
      <c r="K119" s="78" t="s">
        <v>2275</v>
      </c>
      <c r="L119" s="70" t="s">
        <v>12</v>
      </c>
      <c r="M119" s="70" t="s">
        <v>7</v>
      </c>
      <c r="N119" s="70" t="s">
        <v>779</v>
      </c>
      <c r="O119" s="70" t="s">
        <v>679</v>
      </c>
      <c r="P119" s="70" t="s">
        <v>780</v>
      </c>
      <c r="Q119" s="70" t="s">
        <v>636</v>
      </c>
      <c r="R119" s="70" t="s">
        <v>865</v>
      </c>
      <c r="S119" s="70" t="s">
        <v>652</v>
      </c>
      <c r="T119" s="70" t="s">
        <v>822</v>
      </c>
      <c r="U119" s="70" t="s">
        <v>822</v>
      </c>
      <c r="V119" s="70" t="s">
        <v>1101</v>
      </c>
      <c r="W119" s="70" t="s">
        <v>1102</v>
      </c>
      <c r="X119" s="79" t="s">
        <v>1103</v>
      </c>
      <c r="Y119" s="80" t="s">
        <v>2276</v>
      </c>
      <c r="Z119" s="80" t="s">
        <v>1104</v>
      </c>
      <c r="AA119" s="70" t="s">
        <v>1074</v>
      </c>
      <c r="AB119" s="70" t="s">
        <v>641</v>
      </c>
      <c r="AC119" s="80" t="s">
        <v>642</v>
      </c>
      <c r="AD119" s="70" t="s">
        <v>1105</v>
      </c>
    </row>
    <row r="120" spans="1:30" s="82" customFormat="1" ht="125.25" customHeight="1">
      <c r="A120" s="70">
        <f t="shared" si="1"/>
        <v>117</v>
      </c>
      <c r="B120" s="57" t="s">
        <v>1106</v>
      </c>
      <c r="C120" s="70" t="s">
        <v>1106</v>
      </c>
      <c r="D120" s="70" t="s">
        <v>1107</v>
      </c>
      <c r="E120" s="70">
        <v>1947</v>
      </c>
      <c r="F120" s="70" t="s">
        <v>11</v>
      </c>
      <c r="G120" s="70" t="s">
        <v>185</v>
      </c>
      <c r="H120" s="70" t="s">
        <v>1108</v>
      </c>
      <c r="I120" s="70" t="s">
        <v>630</v>
      </c>
      <c r="J120" s="70" t="s">
        <v>874</v>
      </c>
      <c r="K120" s="78" t="s">
        <v>2277</v>
      </c>
      <c r="L120" s="70" t="s">
        <v>11</v>
      </c>
      <c r="M120" s="70" t="s">
        <v>8</v>
      </c>
      <c r="N120" s="70" t="s">
        <v>779</v>
      </c>
      <c r="O120" s="70" t="s">
        <v>679</v>
      </c>
      <c r="P120" s="70" t="s">
        <v>780</v>
      </c>
      <c r="Q120" s="70" t="s">
        <v>636</v>
      </c>
      <c r="R120" s="70" t="s">
        <v>865</v>
      </c>
      <c r="S120" s="70" t="s">
        <v>637</v>
      </c>
      <c r="T120" s="70" t="s">
        <v>822</v>
      </c>
      <c r="U120" s="70" t="s">
        <v>822</v>
      </c>
      <c r="V120" s="70" t="s">
        <v>1109</v>
      </c>
      <c r="W120" s="70" t="s">
        <v>1110</v>
      </c>
      <c r="X120" s="79" t="s">
        <v>1111</v>
      </c>
      <c r="Y120" s="80" t="s">
        <v>2278</v>
      </c>
      <c r="Z120" s="80" t="s">
        <v>1112</v>
      </c>
      <c r="AA120" s="70" t="s">
        <v>1074</v>
      </c>
      <c r="AB120" s="70" t="s">
        <v>641</v>
      </c>
      <c r="AC120" s="80" t="s">
        <v>642</v>
      </c>
      <c r="AD120" s="70" t="s">
        <v>1038</v>
      </c>
    </row>
    <row r="121" spans="1:30" s="82" customFormat="1" ht="125.25" customHeight="1">
      <c r="A121" s="70">
        <f t="shared" si="1"/>
        <v>118</v>
      </c>
      <c r="B121" s="57" t="s">
        <v>1113</v>
      </c>
      <c r="C121" s="70" t="s">
        <v>1114</v>
      </c>
      <c r="D121" s="70" t="s">
        <v>1115</v>
      </c>
      <c r="E121" s="70">
        <v>1999</v>
      </c>
      <c r="F121" s="70" t="s">
        <v>11</v>
      </c>
      <c r="G121" s="70" t="s">
        <v>148</v>
      </c>
      <c r="H121" s="70" t="s">
        <v>1116</v>
      </c>
      <c r="I121" s="70" t="s">
        <v>630</v>
      </c>
      <c r="J121" s="70" t="s">
        <v>874</v>
      </c>
      <c r="K121" s="78" t="s">
        <v>2279</v>
      </c>
      <c r="L121" s="70" t="s">
        <v>11</v>
      </c>
      <c r="M121" s="70" t="s">
        <v>1023</v>
      </c>
      <c r="N121" s="70" t="s">
        <v>632</v>
      </c>
      <c r="O121" s="70" t="s">
        <v>679</v>
      </c>
      <c r="P121" s="70" t="s">
        <v>634</v>
      </c>
      <c r="Q121" s="70" t="s">
        <v>652</v>
      </c>
      <c r="R121" s="70" t="s">
        <v>706</v>
      </c>
      <c r="S121" s="70" t="s">
        <v>662</v>
      </c>
      <c r="T121" s="70" t="s">
        <v>822</v>
      </c>
      <c r="U121" s="70" t="s">
        <v>822</v>
      </c>
      <c r="V121" s="70" t="s">
        <v>1117</v>
      </c>
      <c r="W121" s="70" t="s">
        <v>1118</v>
      </c>
      <c r="X121" s="79" t="s">
        <v>1119</v>
      </c>
      <c r="Y121" s="80" t="s">
        <v>2280</v>
      </c>
      <c r="Z121" s="80" t="s">
        <v>1120</v>
      </c>
      <c r="AA121" s="70" t="s">
        <v>1074</v>
      </c>
      <c r="AB121" s="70" t="s">
        <v>641</v>
      </c>
      <c r="AC121" s="80" t="s">
        <v>642</v>
      </c>
      <c r="AD121" s="70" t="s">
        <v>907</v>
      </c>
    </row>
    <row r="122" spans="1:30" s="82" customFormat="1" ht="125.25" customHeight="1">
      <c r="A122" s="70">
        <f t="shared" si="1"/>
        <v>119</v>
      </c>
      <c r="B122" s="57" t="s">
        <v>1121</v>
      </c>
      <c r="C122" s="70" t="s">
        <v>1121</v>
      </c>
      <c r="D122" s="70" t="s">
        <v>1122</v>
      </c>
      <c r="E122" s="70">
        <v>2001</v>
      </c>
      <c r="F122" s="70" t="s">
        <v>11</v>
      </c>
      <c r="G122" s="70" t="s">
        <v>181</v>
      </c>
      <c r="H122" s="70" t="s">
        <v>1123</v>
      </c>
      <c r="I122" s="70" t="s">
        <v>630</v>
      </c>
      <c r="J122" s="70" t="s">
        <v>1124</v>
      </c>
      <c r="K122" s="78" t="s">
        <v>2281</v>
      </c>
      <c r="L122" s="70" t="s">
        <v>11</v>
      </c>
      <c r="M122" s="70" t="s">
        <v>1125</v>
      </c>
      <c r="N122" s="70" t="s">
        <v>632</v>
      </c>
      <c r="O122" s="70" t="s">
        <v>679</v>
      </c>
      <c r="P122" s="70" t="s">
        <v>705</v>
      </c>
      <c r="Q122" s="70" t="s">
        <v>662</v>
      </c>
      <c r="R122" s="70" t="s">
        <v>637</v>
      </c>
      <c r="S122" s="70" t="s">
        <v>636</v>
      </c>
      <c r="T122" s="70" t="s">
        <v>822</v>
      </c>
      <c r="U122" s="70" t="s">
        <v>822</v>
      </c>
      <c r="V122" s="70" t="s">
        <v>1126</v>
      </c>
      <c r="W122" s="70" t="s">
        <v>1127</v>
      </c>
      <c r="X122" s="79" t="s">
        <v>1128</v>
      </c>
      <c r="Y122" s="80" t="s">
        <v>2282</v>
      </c>
      <c r="Z122" s="80" t="s">
        <v>1129</v>
      </c>
      <c r="AA122" s="70" t="s">
        <v>1074</v>
      </c>
      <c r="AB122" s="70" t="s">
        <v>641</v>
      </c>
      <c r="AC122" s="80" t="s">
        <v>642</v>
      </c>
      <c r="AD122" s="70" t="s">
        <v>1130</v>
      </c>
    </row>
    <row r="123" spans="1:30" s="82" customFormat="1" ht="125.25" customHeight="1">
      <c r="A123" s="70">
        <f t="shared" si="1"/>
        <v>120</v>
      </c>
      <c r="B123" s="57" t="s">
        <v>1131</v>
      </c>
      <c r="C123" s="70" t="s">
        <v>1132</v>
      </c>
      <c r="D123" s="70" t="s">
        <v>1133</v>
      </c>
      <c r="E123" s="70">
        <v>1985</v>
      </c>
      <c r="F123" s="70" t="s">
        <v>11</v>
      </c>
      <c r="G123" s="70" t="s">
        <v>178</v>
      </c>
      <c r="H123" s="70" t="s">
        <v>1134</v>
      </c>
      <c r="I123" s="70" t="s">
        <v>630</v>
      </c>
      <c r="J123" s="70" t="s">
        <v>1135</v>
      </c>
      <c r="K123" s="78" t="s">
        <v>2283</v>
      </c>
      <c r="L123" s="70" t="s">
        <v>11</v>
      </c>
      <c r="M123" s="70" t="s">
        <v>1136</v>
      </c>
      <c r="N123" s="70" t="s">
        <v>769</v>
      </c>
      <c r="O123" s="70" t="s">
        <v>679</v>
      </c>
      <c r="P123" s="70" t="s">
        <v>1137</v>
      </c>
      <c r="Q123" s="70" t="s">
        <v>636</v>
      </c>
      <c r="R123" s="70" t="s">
        <v>662</v>
      </c>
      <c r="S123" s="70" t="s">
        <v>653</v>
      </c>
      <c r="T123" s="70" t="s">
        <v>822</v>
      </c>
      <c r="U123" s="70" t="s">
        <v>822</v>
      </c>
      <c r="V123" s="70" t="s">
        <v>1138</v>
      </c>
      <c r="W123" s="70" t="s">
        <v>1139</v>
      </c>
      <c r="X123" s="79" t="s">
        <v>1140</v>
      </c>
      <c r="Y123" s="80" t="s">
        <v>2284</v>
      </c>
      <c r="Z123" s="80" t="s">
        <v>1141</v>
      </c>
      <c r="AA123" s="70" t="s">
        <v>1074</v>
      </c>
      <c r="AB123" s="70" t="s">
        <v>641</v>
      </c>
      <c r="AC123" s="80" t="s">
        <v>642</v>
      </c>
      <c r="AD123" s="70" t="s">
        <v>1142</v>
      </c>
    </row>
    <row r="124" spans="1:30" s="82" customFormat="1" ht="125.25" customHeight="1">
      <c r="A124" s="70">
        <f t="shared" si="1"/>
        <v>121</v>
      </c>
      <c r="B124" s="57" t="s">
        <v>1143</v>
      </c>
      <c r="C124" s="70" t="s">
        <v>1144</v>
      </c>
      <c r="D124" s="70" t="s">
        <v>1145</v>
      </c>
      <c r="E124" s="70">
        <v>2003</v>
      </c>
      <c r="F124" s="70" t="s">
        <v>11</v>
      </c>
      <c r="G124" s="70" t="s">
        <v>147</v>
      </c>
      <c r="H124" s="70" t="s">
        <v>1079</v>
      </c>
      <c r="I124" s="70" t="s">
        <v>630</v>
      </c>
      <c r="J124" s="70" t="s">
        <v>1146</v>
      </c>
      <c r="K124" s="78" t="s">
        <v>2285</v>
      </c>
      <c r="L124" s="70" t="s">
        <v>11</v>
      </c>
      <c r="M124" s="70" t="s">
        <v>738</v>
      </c>
      <c r="N124" s="70" t="s">
        <v>632</v>
      </c>
      <c r="O124" s="70" t="s">
        <v>633</v>
      </c>
      <c r="P124" s="70" t="s">
        <v>634</v>
      </c>
      <c r="Q124" s="70" t="s">
        <v>739</v>
      </c>
      <c r="R124" s="70" t="s">
        <v>637</v>
      </c>
      <c r="S124" s="70" t="s">
        <v>653</v>
      </c>
      <c r="T124" s="70" t="s">
        <v>822</v>
      </c>
      <c r="U124" s="70" t="s">
        <v>822</v>
      </c>
      <c r="V124" s="70" t="s">
        <v>1147</v>
      </c>
      <c r="W124" s="70" t="s">
        <v>1148</v>
      </c>
      <c r="X124" s="79" t="s">
        <v>1149</v>
      </c>
      <c r="Y124" s="80" t="s">
        <v>2286</v>
      </c>
      <c r="Z124" s="80" t="s">
        <v>1150</v>
      </c>
      <c r="AA124" s="70" t="s">
        <v>1074</v>
      </c>
      <c r="AB124" s="70" t="s">
        <v>641</v>
      </c>
      <c r="AC124" s="80" t="s">
        <v>642</v>
      </c>
      <c r="AD124" s="70" t="s">
        <v>1151</v>
      </c>
    </row>
    <row r="125" spans="1:30" s="82" customFormat="1" ht="125.25" customHeight="1">
      <c r="A125" s="70">
        <f t="shared" si="1"/>
        <v>122</v>
      </c>
      <c r="B125" s="57" t="s">
        <v>1152</v>
      </c>
      <c r="C125" s="70" t="s">
        <v>1153</v>
      </c>
      <c r="D125" s="70" t="s">
        <v>1154</v>
      </c>
      <c r="E125" s="70">
        <v>1987</v>
      </c>
      <c r="F125" s="70" t="s">
        <v>11</v>
      </c>
      <c r="G125" s="70" t="s">
        <v>185</v>
      </c>
      <c r="H125" s="70" t="s">
        <v>1108</v>
      </c>
      <c r="I125" s="70" t="s">
        <v>630</v>
      </c>
      <c r="J125" s="70" t="s">
        <v>1155</v>
      </c>
      <c r="K125" s="78" t="s">
        <v>2287</v>
      </c>
      <c r="L125" s="70" t="s">
        <v>11</v>
      </c>
      <c r="M125" s="70" t="s">
        <v>738</v>
      </c>
      <c r="N125" s="70" t="s">
        <v>819</v>
      </c>
      <c r="O125" s="70" t="s">
        <v>770</v>
      </c>
      <c r="P125" s="70" t="s">
        <v>634</v>
      </c>
      <c r="Q125" s="70" t="s">
        <v>637</v>
      </c>
      <c r="R125" s="70" t="s">
        <v>706</v>
      </c>
      <c r="S125" s="70" t="s">
        <v>653</v>
      </c>
      <c r="T125" s="70" t="s">
        <v>822</v>
      </c>
      <c r="U125" s="70" t="s">
        <v>822</v>
      </c>
      <c r="V125" s="70" t="s">
        <v>1156</v>
      </c>
      <c r="W125" s="70" t="s">
        <v>1157</v>
      </c>
      <c r="X125" s="79" t="s">
        <v>1158</v>
      </c>
      <c r="Y125" s="80" t="s">
        <v>2288</v>
      </c>
      <c r="Z125" s="80" t="s">
        <v>1159</v>
      </c>
      <c r="AA125" s="70" t="s">
        <v>1074</v>
      </c>
      <c r="AB125" s="70" t="s">
        <v>641</v>
      </c>
      <c r="AC125" s="80" t="s">
        <v>642</v>
      </c>
      <c r="AD125" s="70" t="s">
        <v>1160</v>
      </c>
    </row>
    <row r="126" spans="1:30" s="82" customFormat="1" ht="125.25" customHeight="1">
      <c r="A126" s="70">
        <f t="shared" si="1"/>
        <v>123</v>
      </c>
      <c r="B126" s="57" t="s">
        <v>1443</v>
      </c>
      <c r="C126" s="70" t="s">
        <v>1161</v>
      </c>
      <c r="D126" s="70" t="s">
        <v>1162</v>
      </c>
      <c r="E126" s="70">
        <v>1958</v>
      </c>
      <c r="F126" s="70" t="s">
        <v>11</v>
      </c>
      <c r="G126" s="70" t="s">
        <v>147</v>
      </c>
      <c r="H126" s="70" t="s">
        <v>1079</v>
      </c>
      <c r="I126" s="70" t="s">
        <v>842</v>
      </c>
      <c r="J126" s="70" t="s">
        <v>1163</v>
      </c>
      <c r="K126" s="78" t="s">
        <v>2289</v>
      </c>
      <c r="L126" s="70" t="s">
        <v>11</v>
      </c>
      <c r="M126" s="70" t="s">
        <v>738</v>
      </c>
      <c r="N126" s="70" t="s">
        <v>1164</v>
      </c>
      <c r="O126" s="70" t="s">
        <v>821</v>
      </c>
      <c r="P126" s="70" t="s">
        <v>1165</v>
      </c>
      <c r="Q126" s="70" t="s">
        <v>653</v>
      </c>
      <c r="R126" s="70" t="s">
        <v>652</v>
      </c>
      <c r="S126" s="70" t="s">
        <v>637</v>
      </c>
      <c r="T126" s="70" t="s">
        <v>822</v>
      </c>
      <c r="U126" s="70" t="s">
        <v>822</v>
      </c>
      <c r="V126" s="70" t="s">
        <v>631</v>
      </c>
      <c r="W126" s="70" t="s">
        <v>1166</v>
      </c>
      <c r="X126" s="79" t="s">
        <v>631</v>
      </c>
      <c r="Y126" s="80" t="s">
        <v>2290</v>
      </c>
      <c r="Z126" s="80" t="s">
        <v>1167</v>
      </c>
      <c r="AA126" s="70" t="s">
        <v>641</v>
      </c>
      <c r="AB126" s="70" t="s">
        <v>642</v>
      </c>
      <c r="AC126" s="80" t="s">
        <v>1168</v>
      </c>
      <c r="AD126" s="70" t="s">
        <v>2336</v>
      </c>
    </row>
    <row r="127" spans="1:30" s="82" customFormat="1" ht="125.25" customHeight="1">
      <c r="A127" s="70">
        <f t="shared" si="1"/>
        <v>124</v>
      </c>
      <c r="B127" s="57" t="s">
        <v>1169</v>
      </c>
      <c r="C127" s="70" t="s">
        <v>1169</v>
      </c>
      <c r="D127" s="70" t="s">
        <v>1170</v>
      </c>
      <c r="E127" s="70">
        <v>1995</v>
      </c>
      <c r="F127" s="70" t="s">
        <v>11</v>
      </c>
      <c r="G127" s="70" t="s">
        <v>147</v>
      </c>
      <c r="H127" s="70" t="s">
        <v>1171</v>
      </c>
      <c r="I127" s="70" t="s">
        <v>630</v>
      </c>
      <c r="J127" s="70" t="s">
        <v>874</v>
      </c>
      <c r="K127" s="78" t="s">
        <v>2291</v>
      </c>
      <c r="L127" s="70" t="s">
        <v>11</v>
      </c>
      <c r="M127" s="70" t="s">
        <v>738</v>
      </c>
      <c r="N127" s="70" t="s">
        <v>632</v>
      </c>
      <c r="O127" s="70" t="s">
        <v>634</v>
      </c>
      <c r="P127" s="70" t="s">
        <v>770</v>
      </c>
      <c r="Q127" s="70" t="s">
        <v>652</v>
      </c>
      <c r="R127" s="70" t="s">
        <v>653</v>
      </c>
      <c r="S127" s="70" t="s">
        <v>637</v>
      </c>
      <c r="T127" s="70" t="s">
        <v>822</v>
      </c>
      <c r="U127" s="70" t="s">
        <v>822</v>
      </c>
      <c r="V127" s="70" t="s">
        <v>1172</v>
      </c>
      <c r="W127" s="70" t="s">
        <v>1173</v>
      </c>
      <c r="X127" s="79" t="s">
        <v>1083</v>
      </c>
      <c r="Y127" s="80" t="s">
        <v>1174</v>
      </c>
      <c r="Z127" s="80" t="s">
        <v>1175</v>
      </c>
      <c r="AA127" s="70" t="s">
        <v>1074</v>
      </c>
      <c r="AB127" s="70" t="s">
        <v>641</v>
      </c>
      <c r="AC127" s="80" t="s">
        <v>642</v>
      </c>
      <c r="AD127" s="70" t="s">
        <v>1176</v>
      </c>
    </row>
    <row r="128" spans="1:30" s="82" customFormat="1" ht="125.25" customHeight="1">
      <c r="A128" s="70">
        <f t="shared" si="1"/>
        <v>125</v>
      </c>
      <c r="B128" s="57" t="s">
        <v>2322</v>
      </c>
      <c r="C128" s="70" t="s">
        <v>1177</v>
      </c>
      <c r="D128" s="70" t="s">
        <v>1178</v>
      </c>
      <c r="E128" s="70">
        <v>1992</v>
      </c>
      <c r="F128" s="70" t="s">
        <v>11</v>
      </c>
      <c r="G128" s="70" t="s">
        <v>181</v>
      </c>
      <c r="H128" s="70" t="s">
        <v>1179</v>
      </c>
      <c r="I128" s="70" t="s">
        <v>630</v>
      </c>
      <c r="J128" s="70" t="s">
        <v>874</v>
      </c>
      <c r="K128" s="78" t="s">
        <v>2292</v>
      </c>
      <c r="L128" s="70" t="s">
        <v>11</v>
      </c>
      <c r="M128" s="70" t="s">
        <v>1023</v>
      </c>
      <c r="N128" s="70" t="s">
        <v>819</v>
      </c>
      <c r="O128" s="70" t="s">
        <v>705</v>
      </c>
      <c r="P128" s="70" t="s">
        <v>1180</v>
      </c>
      <c r="Q128" s="70" t="s">
        <v>662</v>
      </c>
      <c r="R128" s="70" t="s">
        <v>653</v>
      </c>
      <c r="S128" s="70" t="s">
        <v>1181</v>
      </c>
      <c r="T128" s="70" t="s">
        <v>822</v>
      </c>
      <c r="U128" s="70" t="s">
        <v>822</v>
      </c>
      <c r="V128" s="70" t="s">
        <v>631</v>
      </c>
      <c r="W128" s="70" t="s">
        <v>1182</v>
      </c>
      <c r="X128" s="79" t="s">
        <v>631</v>
      </c>
      <c r="Y128" s="80" t="s">
        <v>1183</v>
      </c>
      <c r="Z128" s="80" t="s">
        <v>1074</v>
      </c>
      <c r="AA128" s="70" t="s">
        <v>641</v>
      </c>
      <c r="AB128" s="70" t="s">
        <v>642</v>
      </c>
      <c r="AC128" s="80" t="s">
        <v>1184</v>
      </c>
      <c r="AD128" s="70" t="s">
        <v>2337</v>
      </c>
    </row>
    <row r="129" spans="1:30" s="82" customFormat="1" ht="125.25" customHeight="1">
      <c r="A129" s="70">
        <f t="shared" si="1"/>
        <v>126</v>
      </c>
      <c r="B129" s="57" t="s">
        <v>1185</v>
      </c>
      <c r="C129" s="70"/>
      <c r="D129" s="70" t="s">
        <v>1186</v>
      </c>
      <c r="E129" s="70" t="s">
        <v>631</v>
      </c>
      <c r="F129" s="70" t="s">
        <v>11</v>
      </c>
      <c r="G129" s="70" t="s">
        <v>156</v>
      </c>
      <c r="H129" s="70" t="s">
        <v>631</v>
      </c>
      <c r="I129" s="70" t="s">
        <v>842</v>
      </c>
      <c r="J129" s="70" t="s">
        <v>630</v>
      </c>
      <c r="K129" s="78" t="s">
        <v>2293</v>
      </c>
      <c r="L129" s="70" t="s">
        <v>11</v>
      </c>
      <c r="M129" s="70" t="s">
        <v>58</v>
      </c>
      <c r="N129" s="70" t="s">
        <v>875</v>
      </c>
      <c r="O129" s="70" t="s">
        <v>821</v>
      </c>
      <c r="P129" s="70" t="s">
        <v>1187</v>
      </c>
      <c r="Q129" s="70" t="s">
        <v>636</v>
      </c>
      <c r="R129" s="70" t="s">
        <v>662</v>
      </c>
      <c r="S129" s="70" t="s">
        <v>653</v>
      </c>
      <c r="T129" s="70" t="s">
        <v>822</v>
      </c>
      <c r="U129" s="70" t="s">
        <v>822</v>
      </c>
      <c r="V129" s="70" t="s">
        <v>631</v>
      </c>
      <c r="W129" s="70" t="s">
        <v>631</v>
      </c>
      <c r="X129" s="79" t="s">
        <v>631</v>
      </c>
      <c r="Y129" s="80" t="s">
        <v>1188</v>
      </c>
      <c r="Z129" s="80" t="s">
        <v>1189</v>
      </c>
      <c r="AA129" s="70" t="s">
        <v>1190</v>
      </c>
      <c r="AB129" s="70" t="s">
        <v>641</v>
      </c>
      <c r="AC129" s="80" t="s">
        <v>1006</v>
      </c>
      <c r="AD129" s="70" t="s">
        <v>1191</v>
      </c>
    </row>
    <row r="130" spans="1:30" s="82" customFormat="1" ht="125.25" customHeight="1">
      <c r="A130" s="70">
        <f t="shared" si="1"/>
        <v>127</v>
      </c>
      <c r="B130" s="57" t="s">
        <v>1192</v>
      </c>
      <c r="C130" s="70" t="s">
        <v>1193</v>
      </c>
      <c r="D130" s="70" t="s">
        <v>1194</v>
      </c>
      <c r="E130" s="70">
        <v>1958</v>
      </c>
      <c r="F130" s="70" t="s">
        <v>11</v>
      </c>
      <c r="G130" s="70" t="s">
        <v>172</v>
      </c>
      <c r="H130" s="70" t="s">
        <v>1089</v>
      </c>
      <c r="I130" s="70" t="s">
        <v>630</v>
      </c>
      <c r="J130" s="70" t="s">
        <v>1195</v>
      </c>
      <c r="K130" s="78" t="s">
        <v>2294</v>
      </c>
      <c r="L130" s="70" t="s">
        <v>11</v>
      </c>
      <c r="M130" s="70" t="s">
        <v>738</v>
      </c>
      <c r="N130" s="70" t="s">
        <v>632</v>
      </c>
      <c r="O130" s="70" t="s">
        <v>633</v>
      </c>
      <c r="P130" s="70" t="s">
        <v>1196</v>
      </c>
      <c r="Q130" s="70" t="s">
        <v>653</v>
      </c>
      <c r="R130" s="70" t="s">
        <v>637</v>
      </c>
      <c r="S130" s="70" t="s">
        <v>636</v>
      </c>
      <c r="T130" s="70" t="s">
        <v>822</v>
      </c>
      <c r="U130" s="70" t="s">
        <v>822</v>
      </c>
      <c r="V130" s="70" t="s">
        <v>1197</v>
      </c>
      <c r="W130" s="70" t="s">
        <v>1198</v>
      </c>
      <c r="X130" s="79" t="s">
        <v>631</v>
      </c>
      <c r="Y130" s="80" t="s">
        <v>1199</v>
      </c>
      <c r="Z130" s="80" t="s">
        <v>1200</v>
      </c>
      <c r="AA130" s="70" t="s">
        <v>1074</v>
      </c>
      <c r="AB130" s="70" t="s">
        <v>641</v>
      </c>
      <c r="AC130" s="80" t="s">
        <v>642</v>
      </c>
      <c r="AD130" s="70" t="s">
        <v>1201</v>
      </c>
    </row>
    <row r="131" spans="1:30" s="82" customFormat="1" ht="125.25" customHeight="1">
      <c r="A131" s="70">
        <f t="shared" si="1"/>
        <v>128</v>
      </c>
      <c r="B131" s="57" t="s">
        <v>1202</v>
      </c>
      <c r="C131" s="70" t="s">
        <v>1203</v>
      </c>
      <c r="D131" s="70" t="s">
        <v>1204</v>
      </c>
      <c r="E131" s="70">
        <v>1948</v>
      </c>
      <c r="F131" s="70" t="s">
        <v>11</v>
      </c>
      <c r="G131" s="70" t="s">
        <v>172</v>
      </c>
      <c r="H131" s="70" t="s">
        <v>1205</v>
      </c>
      <c r="I131" s="70" t="s">
        <v>842</v>
      </c>
      <c r="J131" s="70" t="s">
        <v>1206</v>
      </c>
      <c r="K131" s="78" t="s">
        <v>2295</v>
      </c>
      <c r="L131" s="70" t="s">
        <v>11</v>
      </c>
      <c r="M131" s="70" t="s">
        <v>738</v>
      </c>
      <c r="N131" s="70" t="s">
        <v>1164</v>
      </c>
      <c r="O131" s="70" t="s">
        <v>1044</v>
      </c>
      <c r="P131" s="70" t="s">
        <v>634</v>
      </c>
      <c r="Q131" s="70" t="s">
        <v>652</v>
      </c>
      <c r="R131" s="70" t="s">
        <v>653</v>
      </c>
      <c r="S131" s="70" t="s">
        <v>1207</v>
      </c>
      <c r="T131" s="70" t="s">
        <v>822</v>
      </c>
      <c r="U131" s="70" t="s">
        <v>822</v>
      </c>
      <c r="V131" s="70" t="s">
        <v>1208</v>
      </c>
      <c r="W131" s="70" t="s">
        <v>1209</v>
      </c>
      <c r="X131" s="79" t="s">
        <v>1210</v>
      </c>
      <c r="Y131" s="80" t="s">
        <v>1211</v>
      </c>
      <c r="Z131" s="80" t="s">
        <v>1212</v>
      </c>
      <c r="AA131" s="70" t="s">
        <v>1213</v>
      </c>
      <c r="AB131" s="70" t="s">
        <v>641</v>
      </c>
      <c r="AC131" s="80" t="s">
        <v>642</v>
      </c>
      <c r="AD131" s="70" t="s">
        <v>1214</v>
      </c>
    </row>
    <row r="132" spans="1:30" s="82" customFormat="1" ht="125.25" customHeight="1">
      <c r="A132" s="70">
        <f t="shared" si="1"/>
        <v>129</v>
      </c>
      <c r="B132" s="57" t="s">
        <v>1215</v>
      </c>
      <c r="C132" s="70" t="s">
        <v>1215</v>
      </c>
      <c r="D132" s="70" t="s">
        <v>1216</v>
      </c>
      <c r="E132" s="70">
        <v>1994</v>
      </c>
      <c r="F132" s="70" t="s">
        <v>11</v>
      </c>
      <c r="G132" s="70" t="s">
        <v>181</v>
      </c>
      <c r="H132" s="70" t="s">
        <v>1217</v>
      </c>
      <c r="I132" s="70" t="s">
        <v>630</v>
      </c>
      <c r="J132" s="70" t="s">
        <v>874</v>
      </c>
      <c r="K132" s="78" t="s">
        <v>1218</v>
      </c>
      <c r="L132" s="70" t="s">
        <v>11</v>
      </c>
      <c r="M132" s="70" t="s">
        <v>1219</v>
      </c>
      <c r="N132" s="70" t="s">
        <v>632</v>
      </c>
      <c r="O132" s="70" t="s">
        <v>633</v>
      </c>
      <c r="P132" s="70" t="s">
        <v>634</v>
      </c>
      <c r="Q132" s="70" t="s">
        <v>680</v>
      </c>
      <c r="R132" s="70" t="s">
        <v>637</v>
      </c>
      <c r="S132" s="70" t="s">
        <v>706</v>
      </c>
      <c r="T132" s="70" t="s">
        <v>822</v>
      </c>
      <c r="U132" s="70" t="s">
        <v>822</v>
      </c>
      <c r="V132" s="70" t="s">
        <v>631</v>
      </c>
      <c r="W132" s="70" t="s">
        <v>631</v>
      </c>
      <c r="X132" s="79" t="s">
        <v>631</v>
      </c>
      <c r="Y132" s="80" t="s">
        <v>1220</v>
      </c>
      <c r="Z132" s="80" t="s">
        <v>1221</v>
      </c>
      <c r="AA132" s="70" t="s">
        <v>1074</v>
      </c>
      <c r="AB132" s="70" t="s">
        <v>641</v>
      </c>
      <c r="AC132" s="80" t="s">
        <v>642</v>
      </c>
      <c r="AD132" s="70" t="s">
        <v>1222</v>
      </c>
    </row>
    <row r="133" spans="1:30" s="82" customFormat="1" ht="125.25" customHeight="1">
      <c r="A133" s="70">
        <f t="shared" si="1"/>
        <v>130</v>
      </c>
      <c r="B133" s="57" t="s">
        <v>2323</v>
      </c>
      <c r="C133" s="70" t="s">
        <v>1223</v>
      </c>
      <c r="D133" s="70" t="s">
        <v>1224</v>
      </c>
      <c r="E133" s="70">
        <v>1983</v>
      </c>
      <c r="F133" s="70" t="s">
        <v>11</v>
      </c>
      <c r="G133" s="70" t="s">
        <v>156</v>
      </c>
      <c r="H133" s="70" t="s">
        <v>1225</v>
      </c>
      <c r="I133" s="70" t="s">
        <v>630</v>
      </c>
      <c r="J133" s="70" t="s">
        <v>1226</v>
      </c>
      <c r="K133" s="78" t="s">
        <v>2296</v>
      </c>
      <c r="L133" s="70" t="s">
        <v>11</v>
      </c>
      <c r="M133" s="70" t="s">
        <v>738</v>
      </c>
      <c r="N133" s="70" t="s">
        <v>769</v>
      </c>
      <c r="O133" s="70" t="s">
        <v>821</v>
      </c>
      <c r="P133" s="70" t="s">
        <v>680</v>
      </c>
      <c r="Q133" s="70" t="s">
        <v>637</v>
      </c>
      <c r="R133" s="70" t="s">
        <v>653</v>
      </c>
      <c r="S133" s="70" t="s">
        <v>822</v>
      </c>
      <c r="T133" s="70" t="s">
        <v>822</v>
      </c>
      <c r="U133" s="70" t="s">
        <v>1227</v>
      </c>
      <c r="V133" s="70" t="s">
        <v>1228</v>
      </c>
      <c r="W133" s="70">
        <f>31-20-515-8700</f>
        <v>-9204</v>
      </c>
      <c r="X133" s="79" t="s">
        <v>1229</v>
      </c>
      <c r="Y133" s="80" t="s">
        <v>1230</v>
      </c>
      <c r="Z133" s="80" t="s">
        <v>1074</v>
      </c>
      <c r="AA133" s="70" t="s">
        <v>641</v>
      </c>
      <c r="AB133" s="70" t="s">
        <v>642</v>
      </c>
      <c r="AC133" s="80" t="s">
        <v>1231</v>
      </c>
      <c r="AD133" s="70" t="s">
        <v>2338</v>
      </c>
    </row>
    <row r="134" spans="1:30" s="82" customFormat="1" ht="125.25" customHeight="1">
      <c r="A134" s="70">
        <f t="shared" ref="A134:A197" si="2">ROW()-3</f>
        <v>131</v>
      </c>
      <c r="B134" s="57" t="s">
        <v>1232</v>
      </c>
      <c r="C134" s="70" t="s">
        <v>1233</v>
      </c>
      <c r="D134" s="70" t="s">
        <v>1234</v>
      </c>
      <c r="E134" s="70">
        <v>1891</v>
      </c>
      <c r="F134" s="70" t="s">
        <v>11</v>
      </c>
      <c r="G134" s="70" t="s">
        <v>169</v>
      </c>
      <c r="H134" s="70" t="s">
        <v>1029</v>
      </c>
      <c r="I134" s="70" t="s">
        <v>630</v>
      </c>
      <c r="J134" s="70" t="s">
        <v>1235</v>
      </c>
      <c r="K134" s="78" t="s">
        <v>1236</v>
      </c>
      <c r="L134" s="70" t="s">
        <v>11</v>
      </c>
      <c r="M134" s="70" t="s">
        <v>8</v>
      </c>
      <c r="N134" s="70" t="s">
        <v>779</v>
      </c>
      <c r="O134" s="70" t="s">
        <v>679</v>
      </c>
      <c r="P134" s="70" t="s">
        <v>780</v>
      </c>
      <c r="Q134" s="70" t="s">
        <v>662</v>
      </c>
      <c r="R134" s="70" t="s">
        <v>695</v>
      </c>
      <c r="S134" s="70" t="s">
        <v>636</v>
      </c>
      <c r="T134" s="70" t="s">
        <v>822</v>
      </c>
      <c r="U134" s="70" t="s">
        <v>822</v>
      </c>
      <c r="V134" s="70" t="s">
        <v>1237</v>
      </c>
      <c r="W134" s="70" t="s">
        <v>1238</v>
      </c>
      <c r="X134" s="79" t="s">
        <v>1239</v>
      </c>
      <c r="Y134" s="80" t="s">
        <v>1240</v>
      </c>
      <c r="Z134" s="80" t="s">
        <v>1241</v>
      </c>
      <c r="AA134" s="70" t="s">
        <v>1074</v>
      </c>
      <c r="AB134" s="70" t="s">
        <v>641</v>
      </c>
      <c r="AC134" s="80" t="s">
        <v>642</v>
      </c>
      <c r="AD134" s="70" t="s">
        <v>1242</v>
      </c>
    </row>
    <row r="135" spans="1:30" s="82" customFormat="1" ht="125.25" customHeight="1">
      <c r="A135" s="70">
        <f t="shared" si="2"/>
        <v>132</v>
      </c>
      <c r="B135" s="57" t="s">
        <v>1243</v>
      </c>
      <c r="C135" s="70" t="s">
        <v>1243</v>
      </c>
      <c r="D135" s="70" t="s">
        <v>1244</v>
      </c>
      <c r="E135" s="70">
        <v>1956</v>
      </c>
      <c r="F135" s="70" t="s">
        <v>11</v>
      </c>
      <c r="G135" s="70" t="s">
        <v>156</v>
      </c>
      <c r="H135" s="70" t="s">
        <v>1245</v>
      </c>
      <c r="I135" s="70" t="s">
        <v>630</v>
      </c>
      <c r="J135" s="70" t="s">
        <v>1246</v>
      </c>
      <c r="K135" s="78" t="s">
        <v>2297</v>
      </c>
      <c r="L135" s="70" t="s">
        <v>11</v>
      </c>
      <c r="M135" s="70" t="s">
        <v>738</v>
      </c>
      <c r="N135" s="70" t="s">
        <v>632</v>
      </c>
      <c r="O135" s="70" t="s">
        <v>1044</v>
      </c>
      <c r="P135" s="70" t="s">
        <v>679</v>
      </c>
      <c r="Q135" s="70" t="s">
        <v>636</v>
      </c>
      <c r="R135" s="70" t="s">
        <v>680</v>
      </c>
      <c r="S135" s="70" t="s">
        <v>652</v>
      </c>
      <c r="T135" s="70" t="s">
        <v>822</v>
      </c>
      <c r="U135" s="70" t="s">
        <v>822</v>
      </c>
      <c r="V135" s="70" t="s">
        <v>1247</v>
      </c>
      <c r="W135" s="70" t="s">
        <v>1248</v>
      </c>
      <c r="X135" s="79" t="s">
        <v>1249</v>
      </c>
      <c r="Y135" s="80" t="s">
        <v>1250</v>
      </c>
      <c r="Z135" s="80" t="s">
        <v>1251</v>
      </c>
      <c r="AA135" s="70" t="s">
        <v>1252</v>
      </c>
      <c r="AB135" s="70" t="s">
        <v>641</v>
      </c>
      <c r="AC135" s="80" t="s">
        <v>642</v>
      </c>
      <c r="AD135" s="70" t="s">
        <v>1051</v>
      </c>
    </row>
    <row r="136" spans="1:30" s="82" customFormat="1" ht="125.25" customHeight="1">
      <c r="A136" s="70">
        <f t="shared" si="2"/>
        <v>133</v>
      </c>
      <c r="B136" s="57" t="s">
        <v>1253</v>
      </c>
      <c r="C136" s="70" t="s">
        <v>1254</v>
      </c>
      <c r="D136" s="70" t="s">
        <v>1255</v>
      </c>
      <c r="E136" s="70">
        <v>1992</v>
      </c>
      <c r="F136" s="70" t="s">
        <v>11</v>
      </c>
      <c r="G136" s="70" t="s">
        <v>163</v>
      </c>
      <c r="H136" s="70" t="s">
        <v>1256</v>
      </c>
      <c r="I136" s="70" t="s">
        <v>630</v>
      </c>
      <c r="J136" s="70" t="s">
        <v>1257</v>
      </c>
      <c r="K136" s="78" t="s">
        <v>2298</v>
      </c>
      <c r="L136" s="70" t="s">
        <v>11</v>
      </c>
      <c r="M136" s="70" t="s">
        <v>1258</v>
      </c>
      <c r="N136" s="70" t="s">
        <v>632</v>
      </c>
      <c r="O136" s="70" t="s">
        <v>679</v>
      </c>
      <c r="P136" s="70" t="s">
        <v>1259</v>
      </c>
      <c r="Q136" s="70" t="s">
        <v>695</v>
      </c>
      <c r="R136" s="70" t="s">
        <v>637</v>
      </c>
      <c r="S136" s="70" t="s">
        <v>636</v>
      </c>
      <c r="T136" s="70" t="s">
        <v>822</v>
      </c>
      <c r="U136" s="70" t="s">
        <v>822</v>
      </c>
      <c r="V136" s="70" t="s">
        <v>1260</v>
      </c>
      <c r="W136" s="70" t="s">
        <v>1261</v>
      </c>
      <c r="X136" s="79" t="s">
        <v>1262</v>
      </c>
      <c r="Y136" s="80" t="s">
        <v>1263</v>
      </c>
      <c r="Z136" s="80" t="s">
        <v>1264</v>
      </c>
      <c r="AA136" s="70" t="s">
        <v>1074</v>
      </c>
      <c r="AB136" s="70" t="s">
        <v>641</v>
      </c>
      <c r="AC136" s="80" t="s">
        <v>642</v>
      </c>
      <c r="AD136" s="70" t="s">
        <v>1265</v>
      </c>
    </row>
    <row r="137" spans="1:30" s="82" customFormat="1" ht="125.25" customHeight="1">
      <c r="A137" s="70">
        <f t="shared" si="2"/>
        <v>134</v>
      </c>
      <c r="B137" s="57" t="s">
        <v>1266</v>
      </c>
      <c r="C137" s="70" t="s">
        <v>1266</v>
      </c>
      <c r="D137" s="70" t="s">
        <v>1267</v>
      </c>
      <c r="E137" s="70">
        <v>1979</v>
      </c>
      <c r="F137" s="70" t="s">
        <v>11</v>
      </c>
      <c r="G137" s="70" t="s">
        <v>145</v>
      </c>
      <c r="H137" s="70" t="s">
        <v>1268</v>
      </c>
      <c r="I137" s="70" t="s">
        <v>630</v>
      </c>
      <c r="J137" s="70" t="s">
        <v>1269</v>
      </c>
      <c r="K137" s="78" t="s">
        <v>2299</v>
      </c>
      <c r="L137" s="70" t="s">
        <v>11</v>
      </c>
      <c r="M137" s="70" t="s">
        <v>1219</v>
      </c>
      <c r="N137" s="70" t="s">
        <v>632</v>
      </c>
      <c r="O137" s="70" t="s">
        <v>634</v>
      </c>
      <c r="P137" s="70" t="s">
        <v>1270</v>
      </c>
      <c r="Q137" s="70" t="s">
        <v>653</v>
      </c>
      <c r="R137" s="70" t="s">
        <v>637</v>
      </c>
      <c r="S137" s="70" t="s">
        <v>652</v>
      </c>
      <c r="T137" s="70" t="s">
        <v>822</v>
      </c>
      <c r="U137" s="70" t="s">
        <v>822</v>
      </c>
      <c r="V137" s="70" t="s">
        <v>1271</v>
      </c>
      <c r="W137" s="70" t="s">
        <v>1272</v>
      </c>
      <c r="X137" s="79" t="s">
        <v>1273</v>
      </c>
      <c r="Y137" s="80" t="s">
        <v>1274</v>
      </c>
      <c r="Z137" s="80" t="s">
        <v>1275</v>
      </c>
      <c r="AA137" s="70" t="s">
        <v>1074</v>
      </c>
      <c r="AB137" s="70" t="s">
        <v>641</v>
      </c>
      <c r="AC137" s="80" t="s">
        <v>642</v>
      </c>
      <c r="AD137" s="70" t="s">
        <v>1276</v>
      </c>
    </row>
    <row r="138" spans="1:30" s="82" customFormat="1" ht="125.25" customHeight="1">
      <c r="A138" s="70">
        <f t="shared" si="2"/>
        <v>135</v>
      </c>
      <c r="B138" s="57" t="s">
        <v>1277</v>
      </c>
      <c r="C138" s="70" t="s">
        <v>1278</v>
      </c>
      <c r="D138" s="70" t="s">
        <v>1279</v>
      </c>
      <c r="E138" s="70">
        <v>1982</v>
      </c>
      <c r="F138" s="70" t="s">
        <v>11</v>
      </c>
      <c r="G138" s="70" t="s">
        <v>172</v>
      </c>
      <c r="H138" s="70" t="s">
        <v>1280</v>
      </c>
      <c r="I138" s="70" t="s">
        <v>630</v>
      </c>
      <c r="J138" s="70" t="s">
        <v>1281</v>
      </c>
      <c r="K138" s="78" t="s">
        <v>2300</v>
      </c>
      <c r="L138" s="70" t="s">
        <v>11</v>
      </c>
      <c r="M138" s="70" t="s">
        <v>738</v>
      </c>
      <c r="N138" s="70" t="s">
        <v>769</v>
      </c>
      <c r="O138" s="70" t="s">
        <v>821</v>
      </c>
      <c r="P138" s="70" t="s">
        <v>1282</v>
      </c>
      <c r="Q138" s="70" t="s">
        <v>653</v>
      </c>
      <c r="R138" s="70" t="s">
        <v>706</v>
      </c>
      <c r="S138" s="70" t="s">
        <v>652</v>
      </c>
      <c r="T138" s="70" t="s">
        <v>822</v>
      </c>
      <c r="U138" s="70" t="s">
        <v>822</v>
      </c>
      <c r="V138" s="70" t="s">
        <v>1283</v>
      </c>
      <c r="W138" s="70" t="s">
        <v>1284</v>
      </c>
      <c r="X138" s="79" t="s">
        <v>631</v>
      </c>
      <c r="Y138" s="80" t="s">
        <v>1285</v>
      </c>
      <c r="Z138" s="80" t="s">
        <v>1286</v>
      </c>
      <c r="AA138" s="70" t="s">
        <v>1074</v>
      </c>
      <c r="AB138" s="70" t="s">
        <v>641</v>
      </c>
      <c r="AC138" s="80" t="s">
        <v>642</v>
      </c>
      <c r="AD138" s="70" t="s">
        <v>1287</v>
      </c>
    </row>
    <row r="139" spans="1:30" s="82" customFormat="1" ht="125.25" customHeight="1">
      <c r="A139" s="70">
        <f t="shared" si="2"/>
        <v>136</v>
      </c>
      <c r="B139" s="57" t="s">
        <v>1288</v>
      </c>
      <c r="C139" s="70" t="s">
        <v>1289</v>
      </c>
      <c r="D139" s="70" t="s">
        <v>1290</v>
      </c>
      <c r="E139" s="70">
        <v>1987</v>
      </c>
      <c r="F139" s="70" t="s">
        <v>11</v>
      </c>
      <c r="G139" s="70" t="s">
        <v>185</v>
      </c>
      <c r="H139" s="70" t="s">
        <v>1108</v>
      </c>
      <c r="I139" s="70" t="s">
        <v>630</v>
      </c>
      <c r="J139" s="70" t="s">
        <v>1291</v>
      </c>
      <c r="K139" s="78" t="s">
        <v>2301</v>
      </c>
      <c r="L139" s="70" t="s">
        <v>11</v>
      </c>
      <c r="M139" s="70" t="s">
        <v>738</v>
      </c>
      <c r="N139" s="70" t="s">
        <v>819</v>
      </c>
      <c r="O139" s="70" t="s">
        <v>770</v>
      </c>
      <c r="P139" s="70" t="s">
        <v>634</v>
      </c>
      <c r="Q139" s="70" t="s">
        <v>637</v>
      </c>
      <c r="R139" s="70" t="s">
        <v>706</v>
      </c>
      <c r="S139" s="70" t="s">
        <v>653</v>
      </c>
      <c r="T139" s="70" t="s">
        <v>822</v>
      </c>
      <c r="U139" s="70" t="s">
        <v>822</v>
      </c>
      <c r="V139" s="70" t="s">
        <v>631</v>
      </c>
      <c r="W139" s="70" t="s">
        <v>631</v>
      </c>
      <c r="X139" s="79" t="s">
        <v>631</v>
      </c>
      <c r="Y139" s="80" t="s">
        <v>631</v>
      </c>
      <c r="Z139" s="80" t="s">
        <v>1292</v>
      </c>
      <c r="AA139" s="70" t="s">
        <v>1293</v>
      </c>
      <c r="AB139" s="70" t="s">
        <v>641</v>
      </c>
      <c r="AC139" s="80" t="s">
        <v>642</v>
      </c>
      <c r="AD139" s="70" t="s">
        <v>1294</v>
      </c>
    </row>
    <row r="140" spans="1:30" s="82" customFormat="1" ht="125.25" customHeight="1">
      <c r="A140" s="70">
        <f t="shared" si="2"/>
        <v>137</v>
      </c>
      <c r="B140" s="57" t="s">
        <v>1473</v>
      </c>
      <c r="C140" s="70" t="s">
        <v>1473</v>
      </c>
      <c r="D140" s="70" t="s">
        <v>1474</v>
      </c>
      <c r="E140" s="70">
        <v>1957</v>
      </c>
      <c r="F140" s="70" t="s">
        <v>11</v>
      </c>
      <c r="G140" s="70" t="s">
        <v>156</v>
      </c>
      <c r="H140" s="70" t="s">
        <v>1225</v>
      </c>
      <c r="I140" s="70" t="s">
        <v>630</v>
      </c>
      <c r="J140" s="70" t="s">
        <v>1475</v>
      </c>
      <c r="K140" s="78" t="s">
        <v>2302</v>
      </c>
      <c r="L140" s="70" t="s">
        <v>11</v>
      </c>
      <c r="M140" s="70" t="s">
        <v>1476</v>
      </c>
      <c r="N140" s="70" t="s">
        <v>769</v>
      </c>
      <c r="O140" s="70" t="s">
        <v>821</v>
      </c>
      <c r="P140" s="70" t="s">
        <v>1477</v>
      </c>
      <c r="Q140" s="70" t="s">
        <v>636</v>
      </c>
      <c r="R140" s="70" t="s">
        <v>695</v>
      </c>
      <c r="S140" s="70" t="s">
        <v>662</v>
      </c>
      <c r="T140" s="70" t="s">
        <v>822</v>
      </c>
      <c r="U140" s="70" t="s">
        <v>822</v>
      </c>
      <c r="V140" s="70" t="s">
        <v>1478</v>
      </c>
      <c r="W140" s="70" t="s">
        <v>1479</v>
      </c>
      <c r="X140" s="79" t="s">
        <v>1480</v>
      </c>
      <c r="Y140" s="80" t="s">
        <v>1481</v>
      </c>
      <c r="Z140" s="80" t="s">
        <v>1482</v>
      </c>
      <c r="AA140" s="70" t="s">
        <v>1074</v>
      </c>
      <c r="AB140" s="70" t="s">
        <v>641</v>
      </c>
      <c r="AC140" s="80" t="s">
        <v>642</v>
      </c>
      <c r="AD140" s="70" t="s">
        <v>1483</v>
      </c>
    </row>
    <row r="141" spans="1:30" s="82" customFormat="1" ht="125.25" customHeight="1">
      <c r="A141" s="70">
        <f t="shared" si="2"/>
        <v>138</v>
      </c>
      <c r="B141" s="57" t="s">
        <v>1484</v>
      </c>
      <c r="C141" s="70" t="s">
        <v>1485</v>
      </c>
      <c r="D141" s="70" t="s">
        <v>1486</v>
      </c>
      <c r="E141" s="70">
        <v>1948</v>
      </c>
      <c r="F141" s="70" t="s">
        <v>11</v>
      </c>
      <c r="G141" s="70" t="s">
        <v>172</v>
      </c>
      <c r="H141" s="70" t="s">
        <v>1089</v>
      </c>
      <c r="I141" s="70" t="s">
        <v>630</v>
      </c>
      <c r="J141" s="70" t="s">
        <v>1487</v>
      </c>
      <c r="K141" s="78" t="s">
        <v>2303</v>
      </c>
      <c r="L141" s="70" t="s">
        <v>11</v>
      </c>
      <c r="M141" s="70" t="s">
        <v>738</v>
      </c>
      <c r="N141" s="70" t="s">
        <v>779</v>
      </c>
      <c r="O141" s="70" t="s">
        <v>633</v>
      </c>
      <c r="P141" s="70" t="s">
        <v>634</v>
      </c>
      <c r="Q141" s="70" t="s">
        <v>637</v>
      </c>
      <c r="R141" s="70" t="s">
        <v>652</v>
      </c>
      <c r="S141" s="70" t="s">
        <v>706</v>
      </c>
      <c r="T141" s="70" t="s">
        <v>822</v>
      </c>
      <c r="U141" s="70" t="s">
        <v>822</v>
      </c>
      <c r="V141" s="70" t="s">
        <v>1488</v>
      </c>
      <c r="W141" s="70" t="s">
        <v>1489</v>
      </c>
      <c r="X141" s="79" t="s">
        <v>1490</v>
      </c>
      <c r="Y141" s="80" t="s">
        <v>1491</v>
      </c>
      <c r="Z141" s="80" t="s">
        <v>1492</v>
      </c>
      <c r="AA141" s="70" t="s">
        <v>1493</v>
      </c>
      <c r="AB141" s="70" t="s">
        <v>641</v>
      </c>
      <c r="AC141" s="80" t="s">
        <v>642</v>
      </c>
      <c r="AD141" s="70" t="s">
        <v>1494</v>
      </c>
    </row>
    <row r="142" spans="1:30" s="82" customFormat="1" ht="125.25" customHeight="1">
      <c r="A142" s="70">
        <f t="shared" si="2"/>
        <v>139</v>
      </c>
      <c r="B142" s="57" t="s">
        <v>1495</v>
      </c>
      <c r="C142" s="70" t="s">
        <v>1496</v>
      </c>
      <c r="D142" s="70" t="s">
        <v>1505</v>
      </c>
      <c r="E142" s="70">
        <v>1997</v>
      </c>
      <c r="F142" s="70" t="s">
        <v>11</v>
      </c>
      <c r="G142" s="70" t="s">
        <v>178</v>
      </c>
      <c r="H142" s="70" t="s">
        <v>1497</v>
      </c>
      <c r="I142" s="70" t="s">
        <v>630</v>
      </c>
      <c r="J142" s="70" t="s">
        <v>1498</v>
      </c>
      <c r="K142" s="78" t="s">
        <v>2304</v>
      </c>
      <c r="L142" s="70" t="s">
        <v>11</v>
      </c>
      <c r="M142" s="70" t="s">
        <v>738</v>
      </c>
      <c r="N142" s="70" t="s">
        <v>632</v>
      </c>
      <c r="O142" s="70" t="s">
        <v>633</v>
      </c>
      <c r="P142" s="70" t="s">
        <v>634</v>
      </c>
      <c r="Q142" s="70" t="s">
        <v>635</v>
      </c>
      <c r="R142" s="70" t="s">
        <v>636</v>
      </c>
      <c r="S142" s="70" t="s">
        <v>653</v>
      </c>
      <c r="T142" s="70" t="s">
        <v>822</v>
      </c>
      <c r="U142" s="70" t="s">
        <v>822</v>
      </c>
      <c r="V142" s="70" t="s">
        <v>1499</v>
      </c>
      <c r="W142" s="70" t="s">
        <v>1500</v>
      </c>
      <c r="X142" s="79" t="s">
        <v>1501</v>
      </c>
      <c r="Y142" s="80" t="s">
        <v>1502</v>
      </c>
      <c r="Z142" s="80" t="s">
        <v>1503</v>
      </c>
      <c r="AA142" s="70" t="s">
        <v>1074</v>
      </c>
      <c r="AB142" s="70" t="s">
        <v>641</v>
      </c>
      <c r="AC142" s="80" t="s">
        <v>642</v>
      </c>
      <c r="AD142" s="70" t="s">
        <v>1504</v>
      </c>
    </row>
    <row r="143" spans="1:30" s="82" customFormat="1" ht="125.25" customHeight="1">
      <c r="A143" s="70">
        <f t="shared" si="2"/>
        <v>140</v>
      </c>
      <c r="B143" s="57" t="s">
        <v>1506</v>
      </c>
      <c r="C143" s="70" t="s">
        <v>1507</v>
      </c>
      <c r="D143" s="70" t="s">
        <v>1508</v>
      </c>
      <c r="E143" s="70" t="s">
        <v>2305</v>
      </c>
      <c r="F143" s="70" t="s">
        <v>11</v>
      </c>
      <c r="G143" s="70" t="s">
        <v>172</v>
      </c>
      <c r="H143" s="70" t="s">
        <v>1205</v>
      </c>
      <c r="I143" s="70" t="s">
        <v>842</v>
      </c>
      <c r="J143" s="70" t="s">
        <v>1509</v>
      </c>
      <c r="K143" s="78" t="s">
        <v>2306</v>
      </c>
      <c r="L143" s="70" t="s">
        <v>7</v>
      </c>
      <c r="M143" s="70" t="s">
        <v>738</v>
      </c>
      <c r="N143" s="70" t="s">
        <v>632</v>
      </c>
      <c r="O143" s="70" t="s">
        <v>1044</v>
      </c>
      <c r="P143" s="70" t="s">
        <v>679</v>
      </c>
      <c r="Q143" s="70" t="s">
        <v>652</v>
      </c>
      <c r="R143" s="70" t="s">
        <v>1207</v>
      </c>
      <c r="S143" s="70" t="s">
        <v>1510</v>
      </c>
      <c r="T143" s="70" t="s">
        <v>822</v>
      </c>
      <c r="U143" s="70" t="s">
        <v>822</v>
      </c>
      <c r="V143" s="70" t="s">
        <v>1511</v>
      </c>
      <c r="W143" s="70" t="s">
        <v>1512</v>
      </c>
      <c r="X143" s="79" t="s">
        <v>1513</v>
      </c>
      <c r="Y143" s="80" t="s">
        <v>1514</v>
      </c>
      <c r="Z143" s="80" t="s">
        <v>1515</v>
      </c>
      <c r="AA143" s="70" t="s">
        <v>1516</v>
      </c>
      <c r="AB143" s="70" t="s">
        <v>641</v>
      </c>
      <c r="AC143" s="80" t="s">
        <v>642</v>
      </c>
      <c r="AD143" s="70" t="s">
        <v>1517</v>
      </c>
    </row>
    <row r="144" spans="1:30" s="82" customFormat="1" ht="125.25" customHeight="1">
      <c r="A144" s="70">
        <f t="shared" si="2"/>
        <v>141</v>
      </c>
      <c r="B144" s="57" t="s">
        <v>1518</v>
      </c>
      <c r="C144" s="70" t="s">
        <v>1518</v>
      </c>
      <c r="D144" s="70" t="s">
        <v>1519</v>
      </c>
      <c r="E144" s="70">
        <v>2003</v>
      </c>
      <c r="F144" s="70" t="s">
        <v>11</v>
      </c>
      <c r="G144" s="70" t="s">
        <v>181</v>
      </c>
      <c r="H144" s="70" t="s">
        <v>1520</v>
      </c>
      <c r="I144" s="70" t="s">
        <v>630</v>
      </c>
      <c r="J144" s="70" t="s">
        <v>1521</v>
      </c>
      <c r="K144" s="78" t="s">
        <v>2307</v>
      </c>
      <c r="L144" s="70" t="s">
        <v>11</v>
      </c>
      <c r="M144" s="70" t="s">
        <v>1219</v>
      </c>
      <c r="N144" s="70" t="s">
        <v>632</v>
      </c>
      <c r="O144" s="70" t="s">
        <v>679</v>
      </c>
      <c r="P144" s="70" t="s">
        <v>705</v>
      </c>
      <c r="Q144" s="70" t="s">
        <v>662</v>
      </c>
      <c r="R144" s="70" t="s">
        <v>1522</v>
      </c>
      <c r="S144" s="70" t="s">
        <v>653</v>
      </c>
      <c r="T144" s="70" t="s">
        <v>822</v>
      </c>
      <c r="U144" s="70" t="s">
        <v>822</v>
      </c>
      <c r="V144" s="70" t="s">
        <v>1523</v>
      </c>
      <c r="W144" s="70" t="s">
        <v>1524</v>
      </c>
      <c r="X144" s="79" t="s">
        <v>631</v>
      </c>
      <c r="Y144" s="80" t="s">
        <v>1525</v>
      </c>
      <c r="Z144" s="80" t="s">
        <v>1526</v>
      </c>
      <c r="AA144" s="70" t="s">
        <v>1074</v>
      </c>
      <c r="AB144" s="70" t="s">
        <v>641</v>
      </c>
      <c r="AC144" s="80" t="s">
        <v>642</v>
      </c>
      <c r="AD144" s="70" t="s">
        <v>1527</v>
      </c>
    </row>
    <row r="145" spans="1:30" s="82" customFormat="1" ht="125.25" customHeight="1">
      <c r="A145" s="70">
        <f t="shared" si="2"/>
        <v>142</v>
      </c>
      <c r="B145" s="57" t="s">
        <v>2341</v>
      </c>
      <c r="C145" s="70" t="s">
        <v>2382</v>
      </c>
      <c r="D145" s="70" t="s">
        <v>2383</v>
      </c>
      <c r="E145" s="70">
        <v>1985</v>
      </c>
      <c r="F145" s="70" t="s">
        <v>9</v>
      </c>
      <c r="G145" s="70" t="s">
        <v>2384</v>
      </c>
      <c r="H145" s="70" t="s">
        <v>2385</v>
      </c>
      <c r="I145" s="70" t="s">
        <v>630</v>
      </c>
      <c r="J145" s="70" t="s">
        <v>2498</v>
      </c>
      <c r="K145" s="78" t="s">
        <v>2499</v>
      </c>
      <c r="L145" s="70" t="s">
        <v>2500</v>
      </c>
      <c r="M145" s="70"/>
      <c r="N145" s="70" t="s">
        <v>2501</v>
      </c>
      <c r="O145" s="70" t="s">
        <v>679</v>
      </c>
      <c r="P145" s="70" t="s">
        <v>633</v>
      </c>
      <c r="Q145" s="70" t="s">
        <v>2386</v>
      </c>
      <c r="R145" s="70" t="s">
        <v>2502</v>
      </c>
      <c r="S145" s="70" t="s">
        <v>2503</v>
      </c>
      <c r="T145" s="70" t="s">
        <v>631</v>
      </c>
      <c r="U145" s="70" t="s">
        <v>631</v>
      </c>
      <c r="V145" s="70" t="s">
        <v>2504</v>
      </c>
      <c r="W145" s="70" t="s">
        <v>2387</v>
      </c>
      <c r="X145" s="79" t="s">
        <v>2505</v>
      </c>
      <c r="Y145" s="80" t="s">
        <v>2506</v>
      </c>
      <c r="Z145" s="80" t="s">
        <v>2507</v>
      </c>
      <c r="AA145" s="70" t="s">
        <v>2388</v>
      </c>
      <c r="AB145" s="70" t="s">
        <v>2389</v>
      </c>
      <c r="AC145" s="80" t="s">
        <v>2508</v>
      </c>
      <c r="AD145" s="70" t="s">
        <v>2856</v>
      </c>
    </row>
    <row r="146" spans="1:30" s="82" customFormat="1" ht="125.25" customHeight="1">
      <c r="A146" s="70">
        <f t="shared" si="2"/>
        <v>143</v>
      </c>
      <c r="B146" s="57" t="s">
        <v>2509</v>
      </c>
      <c r="C146" s="70" t="s">
        <v>2391</v>
      </c>
      <c r="D146" s="70" t="s">
        <v>2392</v>
      </c>
      <c r="E146" s="70">
        <v>1878</v>
      </c>
      <c r="F146" s="70" t="s">
        <v>9</v>
      </c>
      <c r="G146" s="70" t="s">
        <v>2390</v>
      </c>
      <c r="H146" s="70" t="s">
        <v>2393</v>
      </c>
      <c r="I146" s="70" t="s">
        <v>630</v>
      </c>
      <c r="J146" s="70" t="s">
        <v>2510</v>
      </c>
      <c r="K146" s="78" t="s">
        <v>2511</v>
      </c>
      <c r="L146" s="70" t="s">
        <v>2512</v>
      </c>
      <c r="M146" s="70" t="s">
        <v>631</v>
      </c>
      <c r="N146" s="70" t="s">
        <v>2513</v>
      </c>
      <c r="O146" s="70" t="s">
        <v>633</v>
      </c>
      <c r="P146" s="70" t="s">
        <v>2514</v>
      </c>
      <c r="Q146" s="70" t="s">
        <v>2394</v>
      </c>
      <c r="R146" s="70" t="s">
        <v>2395</v>
      </c>
      <c r="S146" s="70" t="s">
        <v>2515</v>
      </c>
      <c r="T146" s="70" t="s">
        <v>631</v>
      </c>
      <c r="U146" s="70" t="s">
        <v>631</v>
      </c>
      <c r="V146" s="70" t="s">
        <v>2516</v>
      </c>
      <c r="W146" s="70" t="s">
        <v>2396</v>
      </c>
      <c r="X146" s="79" t="s">
        <v>2517</v>
      </c>
      <c r="Y146" s="80" t="s">
        <v>2556</v>
      </c>
      <c r="Z146" s="80" t="s">
        <v>2518</v>
      </c>
      <c r="AA146" s="70" t="s">
        <v>2388</v>
      </c>
      <c r="AB146" s="70" t="s">
        <v>2519</v>
      </c>
      <c r="AC146" s="80" t="s">
        <v>2520</v>
      </c>
      <c r="AD146" s="70" t="s">
        <v>2857</v>
      </c>
    </row>
    <row r="147" spans="1:30" s="82" customFormat="1" ht="125.25" customHeight="1">
      <c r="A147" s="70">
        <f t="shared" si="2"/>
        <v>144</v>
      </c>
      <c r="B147" s="57" t="s">
        <v>2397</v>
      </c>
      <c r="C147" s="70" t="s">
        <v>2398</v>
      </c>
      <c r="D147" s="70" t="s">
        <v>2399</v>
      </c>
      <c r="E147" s="70">
        <v>1954</v>
      </c>
      <c r="F147" s="70" t="s">
        <v>9</v>
      </c>
      <c r="G147" s="70" t="s">
        <v>2390</v>
      </c>
      <c r="H147" s="70" t="s">
        <v>2400</v>
      </c>
      <c r="I147" s="70" t="s">
        <v>630</v>
      </c>
      <c r="J147" s="70" t="s">
        <v>2521</v>
      </c>
      <c r="K147" s="78" t="s">
        <v>2522</v>
      </c>
      <c r="L147" s="70" t="s">
        <v>2523</v>
      </c>
      <c r="M147" s="70" t="s">
        <v>2524</v>
      </c>
      <c r="N147" s="70" t="s">
        <v>2525</v>
      </c>
      <c r="O147" s="70" t="s">
        <v>679</v>
      </c>
      <c r="P147" s="70" t="s">
        <v>2526</v>
      </c>
      <c r="Q147" s="70" t="s">
        <v>2394</v>
      </c>
      <c r="R147" s="70" t="s">
        <v>680</v>
      </c>
      <c r="S147" s="70" t="s">
        <v>2527</v>
      </c>
      <c r="T147" s="70" t="s">
        <v>631</v>
      </c>
      <c r="U147" s="70" t="s">
        <v>631</v>
      </c>
      <c r="V147" s="70" t="s">
        <v>2401</v>
      </c>
      <c r="W147" s="70" t="s">
        <v>2402</v>
      </c>
      <c r="X147" s="79" t="s">
        <v>2403</v>
      </c>
      <c r="Y147" s="80" t="s">
        <v>2556</v>
      </c>
      <c r="Z147" s="80" t="s">
        <v>2528</v>
      </c>
      <c r="AA147" s="70" t="s">
        <v>2388</v>
      </c>
      <c r="AB147" s="70" t="s">
        <v>2529</v>
      </c>
      <c r="AC147" s="80"/>
      <c r="AD147" s="70" t="s">
        <v>2858</v>
      </c>
    </row>
    <row r="148" spans="1:30" s="82" customFormat="1" ht="125.25" customHeight="1">
      <c r="A148" s="70">
        <f t="shared" si="2"/>
        <v>145</v>
      </c>
      <c r="B148" s="57" t="s">
        <v>2530</v>
      </c>
      <c r="C148" s="70" t="s">
        <v>2404</v>
      </c>
      <c r="D148" s="70" t="s">
        <v>2531</v>
      </c>
      <c r="E148" s="70">
        <v>2000</v>
      </c>
      <c r="F148" s="70" t="s">
        <v>9</v>
      </c>
      <c r="G148" s="70" t="s">
        <v>2390</v>
      </c>
      <c r="H148" s="70" t="s">
        <v>2405</v>
      </c>
      <c r="I148" s="70" t="s">
        <v>630</v>
      </c>
      <c r="J148" s="70" t="s">
        <v>2532</v>
      </c>
      <c r="K148" s="78" t="s">
        <v>2533</v>
      </c>
      <c r="L148" s="70" t="s">
        <v>2534</v>
      </c>
      <c r="M148" s="70" t="s">
        <v>2535</v>
      </c>
      <c r="N148" s="70" t="s">
        <v>2536</v>
      </c>
      <c r="O148" s="70" t="s">
        <v>821</v>
      </c>
      <c r="P148" s="70" t="s">
        <v>2537</v>
      </c>
      <c r="Q148" s="70" t="s">
        <v>2538</v>
      </c>
      <c r="R148" s="70" t="s">
        <v>2539</v>
      </c>
      <c r="S148" s="70" t="s">
        <v>2540</v>
      </c>
      <c r="T148" s="70" t="s">
        <v>631</v>
      </c>
      <c r="U148" s="70" t="s">
        <v>631</v>
      </c>
      <c r="V148" s="70" t="s">
        <v>2541</v>
      </c>
      <c r="W148" s="70" t="s">
        <v>2406</v>
      </c>
      <c r="X148" s="79" t="s">
        <v>2407</v>
      </c>
      <c r="Y148" s="80" t="s">
        <v>2556</v>
      </c>
      <c r="Z148" s="80" t="s">
        <v>2542</v>
      </c>
      <c r="AA148" s="70" t="s">
        <v>2543</v>
      </c>
      <c r="AB148" s="70" t="s">
        <v>2544</v>
      </c>
      <c r="AC148" s="80"/>
      <c r="AD148" s="70" t="s">
        <v>2859</v>
      </c>
    </row>
    <row r="149" spans="1:30" s="82" customFormat="1" ht="125.25" customHeight="1">
      <c r="A149" s="70">
        <f t="shared" si="2"/>
        <v>146</v>
      </c>
      <c r="B149" s="57" t="s">
        <v>2545</v>
      </c>
      <c r="C149" s="70" t="s">
        <v>2408</v>
      </c>
      <c r="D149" s="70" t="s">
        <v>2409</v>
      </c>
      <c r="E149" s="70">
        <v>1992</v>
      </c>
      <c r="F149" s="70" t="s">
        <v>9</v>
      </c>
      <c r="G149" s="70" t="s">
        <v>2390</v>
      </c>
      <c r="H149" s="70" t="s">
        <v>2400</v>
      </c>
      <c r="I149" s="70" t="s">
        <v>630</v>
      </c>
      <c r="J149" s="70" t="s">
        <v>2546</v>
      </c>
      <c r="K149" s="78" t="s">
        <v>2547</v>
      </c>
      <c r="L149" s="70" t="s">
        <v>2548</v>
      </c>
      <c r="M149" s="70" t="s">
        <v>631</v>
      </c>
      <c r="N149" s="70" t="s">
        <v>2549</v>
      </c>
      <c r="O149" s="70" t="s">
        <v>2123</v>
      </c>
      <c r="P149" s="70" t="s">
        <v>2550</v>
      </c>
      <c r="Q149" s="70" t="s">
        <v>652</v>
      </c>
      <c r="R149" s="70" t="s">
        <v>2410</v>
      </c>
      <c r="S149" s="70" t="s">
        <v>2551</v>
      </c>
      <c r="T149" s="70" t="s">
        <v>631</v>
      </c>
      <c r="U149" s="70" t="s">
        <v>631</v>
      </c>
      <c r="V149" s="70" t="s">
        <v>631</v>
      </c>
      <c r="W149" s="70" t="s">
        <v>2411</v>
      </c>
      <c r="X149" s="79" t="s">
        <v>631</v>
      </c>
      <c r="Y149" s="80" t="s">
        <v>2556</v>
      </c>
      <c r="Z149" s="80" t="s">
        <v>2552</v>
      </c>
      <c r="AA149" s="70" t="s">
        <v>2553</v>
      </c>
      <c r="AB149" s="70" t="s">
        <v>2554</v>
      </c>
      <c r="AC149" s="80"/>
      <c r="AD149" s="70" t="s">
        <v>2860</v>
      </c>
    </row>
    <row r="150" spans="1:30" s="82" customFormat="1" ht="125.25" customHeight="1">
      <c r="A150" s="70">
        <f t="shared" si="2"/>
        <v>147</v>
      </c>
      <c r="B150" s="57" t="s">
        <v>2346</v>
      </c>
      <c r="C150" s="70" t="s">
        <v>2412</v>
      </c>
      <c r="D150" s="70" t="s">
        <v>2413</v>
      </c>
      <c r="E150" s="70">
        <v>1968</v>
      </c>
      <c r="F150" s="70" t="s">
        <v>9</v>
      </c>
      <c r="G150" s="70" t="s">
        <v>2384</v>
      </c>
      <c r="H150" s="70" t="s">
        <v>2414</v>
      </c>
      <c r="I150" s="70" t="s">
        <v>2557</v>
      </c>
      <c r="J150" s="70" t="s">
        <v>2558</v>
      </c>
      <c r="K150" s="78" t="s">
        <v>2559</v>
      </c>
      <c r="L150" s="70" t="s">
        <v>2560</v>
      </c>
      <c r="M150" s="70" t="s">
        <v>631</v>
      </c>
      <c r="N150" s="70" t="s">
        <v>2415</v>
      </c>
      <c r="O150" s="70" t="s">
        <v>2561</v>
      </c>
      <c r="P150" s="70" t="s">
        <v>2562</v>
      </c>
      <c r="Q150" s="70" t="s">
        <v>2416</v>
      </c>
      <c r="R150" s="70" t="s">
        <v>2386</v>
      </c>
      <c r="S150" s="70" t="s">
        <v>2563</v>
      </c>
      <c r="T150" s="70" t="s">
        <v>631</v>
      </c>
      <c r="U150" s="70" t="s">
        <v>631</v>
      </c>
      <c r="V150" s="70" t="s">
        <v>631</v>
      </c>
      <c r="W150" s="70" t="s">
        <v>631</v>
      </c>
      <c r="X150" s="79" t="s">
        <v>631</v>
      </c>
      <c r="Y150" s="80" t="s">
        <v>2555</v>
      </c>
      <c r="Z150" s="80" t="s">
        <v>2564</v>
      </c>
      <c r="AA150" s="70" t="s">
        <v>631</v>
      </c>
      <c r="AB150" s="70" t="s">
        <v>2565</v>
      </c>
      <c r="AC150" s="80"/>
      <c r="AD150" s="70" t="s">
        <v>2861</v>
      </c>
    </row>
    <row r="151" spans="1:30" s="82" customFormat="1" ht="125.25" customHeight="1">
      <c r="A151" s="70">
        <f t="shared" si="2"/>
        <v>148</v>
      </c>
      <c r="B151" s="57" t="s">
        <v>2417</v>
      </c>
      <c r="C151" s="70" t="s">
        <v>2418</v>
      </c>
      <c r="D151" s="70" t="s">
        <v>2419</v>
      </c>
      <c r="E151" s="70">
        <v>1900</v>
      </c>
      <c r="F151" s="70" t="s">
        <v>9</v>
      </c>
      <c r="G151" s="70" t="s">
        <v>2390</v>
      </c>
      <c r="H151" s="70" t="s">
        <v>2566</v>
      </c>
      <c r="I151" s="70" t="s">
        <v>630</v>
      </c>
      <c r="J151" s="70" t="s">
        <v>2567</v>
      </c>
      <c r="K151" s="78" t="s">
        <v>2568</v>
      </c>
      <c r="L151" s="70" t="s">
        <v>2569</v>
      </c>
      <c r="M151" s="70" t="s">
        <v>631</v>
      </c>
      <c r="N151" s="70" t="s">
        <v>2420</v>
      </c>
      <c r="O151" s="70" t="s">
        <v>2570</v>
      </c>
      <c r="P151" s="70" t="s">
        <v>2571</v>
      </c>
      <c r="Q151" s="70" t="s">
        <v>2421</v>
      </c>
      <c r="R151" s="70" t="s">
        <v>2572</v>
      </c>
      <c r="S151" s="70" t="s">
        <v>2573</v>
      </c>
      <c r="T151" s="70" t="s">
        <v>631</v>
      </c>
      <c r="U151" s="70" t="s">
        <v>631</v>
      </c>
      <c r="V151" s="70" t="s">
        <v>631</v>
      </c>
      <c r="W151" s="70" t="s">
        <v>2422</v>
      </c>
      <c r="X151" s="79" t="s">
        <v>2423</v>
      </c>
      <c r="Y151" s="80" t="s">
        <v>2555</v>
      </c>
      <c r="Z151" s="80" t="s">
        <v>2574</v>
      </c>
      <c r="AA151" s="70" t="s">
        <v>2388</v>
      </c>
      <c r="AB151" s="70" t="s">
        <v>2575</v>
      </c>
      <c r="AC151" s="80"/>
      <c r="AD151" s="70" t="s">
        <v>2862</v>
      </c>
    </row>
    <row r="152" spans="1:30" s="82" customFormat="1" ht="125.25" customHeight="1">
      <c r="A152" s="70">
        <f t="shared" si="2"/>
        <v>149</v>
      </c>
      <c r="B152" s="57" t="s">
        <v>2424</v>
      </c>
      <c r="C152" s="70" t="s">
        <v>2425</v>
      </c>
      <c r="D152" s="70" t="s">
        <v>2576</v>
      </c>
      <c r="E152" s="70">
        <v>1967</v>
      </c>
      <c r="F152" s="70" t="s">
        <v>9</v>
      </c>
      <c r="G152" s="70" t="s">
        <v>2390</v>
      </c>
      <c r="H152" s="70" t="s">
        <v>2577</v>
      </c>
      <c r="I152" s="70" t="s">
        <v>630</v>
      </c>
      <c r="J152" s="70" t="s">
        <v>2578</v>
      </c>
      <c r="K152" s="78" t="s">
        <v>2579</v>
      </c>
      <c r="L152" s="70" t="s">
        <v>2580</v>
      </c>
      <c r="M152" s="70" t="s">
        <v>631</v>
      </c>
      <c r="N152" s="70" t="s">
        <v>2581</v>
      </c>
      <c r="O152" s="70" t="s">
        <v>2426</v>
      </c>
      <c r="P152" s="70" t="s">
        <v>2526</v>
      </c>
      <c r="Q152" s="70" t="s">
        <v>652</v>
      </c>
      <c r="R152" s="70" t="s">
        <v>2481</v>
      </c>
      <c r="S152" s="70" t="s">
        <v>695</v>
      </c>
      <c r="T152" s="70" t="s">
        <v>631</v>
      </c>
      <c r="U152" s="70" t="s">
        <v>631</v>
      </c>
      <c r="V152" s="70" t="s">
        <v>631</v>
      </c>
      <c r="W152" s="70" t="s">
        <v>2427</v>
      </c>
      <c r="X152" s="79" t="s">
        <v>2582</v>
      </c>
      <c r="Y152" s="80" t="s">
        <v>2555</v>
      </c>
      <c r="Z152" s="80" t="s">
        <v>2583</v>
      </c>
      <c r="AA152" s="70" t="s">
        <v>2584</v>
      </c>
      <c r="AB152" s="70" t="s">
        <v>2585</v>
      </c>
      <c r="AC152" s="80"/>
      <c r="AD152" s="70" t="s">
        <v>2863</v>
      </c>
    </row>
    <row r="153" spans="1:30" s="82" customFormat="1" ht="125.25" customHeight="1">
      <c r="A153" s="70">
        <f t="shared" si="2"/>
        <v>150</v>
      </c>
      <c r="B153" s="57" t="s">
        <v>2428</v>
      </c>
      <c r="C153" s="70" t="s">
        <v>2428</v>
      </c>
      <c r="D153" s="70" t="s">
        <v>2586</v>
      </c>
      <c r="E153" s="70">
        <v>1971</v>
      </c>
      <c r="F153" s="70" t="s">
        <v>9</v>
      </c>
      <c r="G153" s="70" t="s">
        <v>2390</v>
      </c>
      <c r="H153" s="70" t="s">
        <v>2587</v>
      </c>
      <c r="I153" s="70" t="s">
        <v>630</v>
      </c>
      <c r="J153" s="70" t="s">
        <v>2588</v>
      </c>
      <c r="K153" s="78" t="s">
        <v>2589</v>
      </c>
      <c r="L153" s="70" t="s">
        <v>2590</v>
      </c>
      <c r="M153" s="70" t="s">
        <v>2535</v>
      </c>
      <c r="N153" s="70" t="s">
        <v>2549</v>
      </c>
      <c r="O153" s="70" t="s">
        <v>679</v>
      </c>
      <c r="P153" s="70" t="s">
        <v>2591</v>
      </c>
      <c r="Q153" s="70" t="s">
        <v>2538</v>
      </c>
      <c r="R153" s="70" t="s">
        <v>662</v>
      </c>
      <c r="S153" s="70" t="s">
        <v>2592</v>
      </c>
      <c r="T153" s="70" t="s">
        <v>631</v>
      </c>
      <c r="U153" s="70" t="s">
        <v>631</v>
      </c>
      <c r="V153" s="70" t="s">
        <v>2593</v>
      </c>
      <c r="W153" s="70" t="s">
        <v>2429</v>
      </c>
      <c r="X153" s="79" t="s">
        <v>2430</v>
      </c>
      <c r="Y153" s="80" t="s">
        <v>2555</v>
      </c>
      <c r="Z153" s="80" t="s">
        <v>2594</v>
      </c>
      <c r="AA153" s="70" t="s">
        <v>2388</v>
      </c>
      <c r="AB153" s="70" t="s">
        <v>2595</v>
      </c>
      <c r="AC153" s="80"/>
      <c r="AD153" s="70" t="s">
        <v>2864</v>
      </c>
    </row>
    <row r="154" spans="1:30" s="82" customFormat="1" ht="125.25" customHeight="1">
      <c r="A154" s="70">
        <f t="shared" si="2"/>
        <v>151</v>
      </c>
      <c r="B154" s="57" t="s">
        <v>2350</v>
      </c>
      <c r="C154" s="70"/>
      <c r="D154" s="70" t="s">
        <v>2431</v>
      </c>
      <c r="E154" s="70">
        <v>1936</v>
      </c>
      <c r="F154" s="70" t="s">
        <v>9</v>
      </c>
      <c r="G154" s="70" t="s">
        <v>2390</v>
      </c>
      <c r="H154" s="70" t="s">
        <v>2577</v>
      </c>
      <c r="I154" s="70" t="s">
        <v>2602</v>
      </c>
      <c r="J154" s="70" t="s">
        <v>2596</v>
      </c>
      <c r="K154" s="78" t="s">
        <v>2603</v>
      </c>
      <c r="L154" s="70" t="s">
        <v>2597</v>
      </c>
      <c r="M154" s="70" t="s">
        <v>631</v>
      </c>
      <c r="N154" s="70" t="s">
        <v>2536</v>
      </c>
      <c r="O154" s="70" t="s">
        <v>821</v>
      </c>
      <c r="P154" s="70" t="s">
        <v>2604</v>
      </c>
      <c r="Q154" s="70" t="s">
        <v>2432</v>
      </c>
      <c r="R154" s="70" t="s">
        <v>2598</v>
      </c>
      <c r="S154" s="70" t="s">
        <v>2599</v>
      </c>
      <c r="T154" s="70" t="s">
        <v>631</v>
      </c>
      <c r="U154" s="70" t="s">
        <v>631</v>
      </c>
      <c r="V154" s="70" t="s">
        <v>2600</v>
      </c>
      <c r="W154" s="70" t="s">
        <v>2433</v>
      </c>
      <c r="X154" s="79" t="s">
        <v>2434</v>
      </c>
      <c r="Y154" s="80" t="s">
        <v>2555</v>
      </c>
      <c r="Z154" s="80" t="s">
        <v>2605</v>
      </c>
      <c r="AA154" s="70" t="s">
        <v>2606</v>
      </c>
      <c r="AB154" s="70" t="s">
        <v>2601</v>
      </c>
      <c r="AC154" s="80"/>
      <c r="AD154" s="70" t="s">
        <v>2865</v>
      </c>
    </row>
    <row r="155" spans="1:30" s="82" customFormat="1" ht="125.25" customHeight="1">
      <c r="A155" s="70">
        <f t="shared" si="2"/>
        <v>152</v>
      </c>
      <c r="B155" s="57" t="s">
        <v>2435</v>
      </c>
      <c r="C155" s="70" t="s">
        <v>2631</v>
      </c>
      <c r="D155" s="70" t="s">
        <v>2632</v>
      </c>
      <c r="E155" s="70">
        <v>2001</v>
      </c>
      <c r="F155" s="70" t="s">
        <v>9</v>
      </c>
      <c r="G155" s="70" t="s">
        <v>2390</v>
      </c>
      <c r="H155" s="70" t="s">
        <v>2607</v>
      </c>
      <c r="I155" s="70" t="s">
        <v>2608</v>
      </c>
      <c r="J155" s="70" t="s">
        <v>2609</v>
      </c>
      <c r="K155" s="78" t="s">
        <v>2610</v>
      </c>
      <c r="L155" s="70" t="s">
        <v>2611</v>
      </c>
      <c r="M155" s="70" t="s">
        <v>631</v>
      </c>
      <c r="N155" s="70" t="s">
        <v>2549</v>
      </c>
      <c r="O155" s="70" t="s">
        <v>2612</v>
      </c>
      <c r="P155" s="70" t="s">
        <v>2613</v>
      </c>
      <c r="Q155" s="70" t="s">
        <v>2436</v>
      </c>
      <c r="R155" s="70" t="s">
        <v>636</v>
      </c>
      <c r="S155" s="70" t="s">
        <v>2614</v>
      </c>
      <c r="T155" s="70" t="s">
        <v>631</v>
      </c>
      <c r="U155" s="70" t="s">
        <v>631</v>
      </c>
      <c r="V155" s="70" t="s">
        <v>2437</v>
      </c>
      <c r="W155" s="70" t="s">
        <v>2438</v>
      </c>
      <c r="X155" s="79" t="s">
        <v>2439</v>
      </c>
      <c r="Y155" s="80" t="s">
        <v>2555</v>
      </c>
      <c r="Z155" s="80" t="s">
        <v>2615</v>
      </c>
      <c r="AA155" s="70" t="s">
        <v>2617</v>
      </c>
      <c r="AB155" s="70" t="s">
        <v>2616</v>
      </c>
      <c r="AC155" s="80"/>
      <c r="AD155" s="70" t="s">
        <v>2866</v>
      </c>
    </row>
    <row r="156" spans="1:30" s="82" customFormat="1" ht="125.25" customHeight="1">
      <c r="A156" s="70">
        <f t="shared" si="2"/>
        <v>153</v>
      </c>
      <c r="B156" s="57" t="s">
        <v>2618</v>
      </c>
      <c r="C156" s="70" t="s">
        <v>2440</v>
      </c>
      <c r="D156" s="70" t="s">
        <v>2441</v>
      </c>
      <c r="E156" s="70">
        <v>1971</v>
      </c>
      <c r="F156" s="70" t="s">
        <v>11</v>
      </c>
      <c r="G156" s="70" t="s">
        <v>2442</v>
      </c>
      <c r="H156" s="70" t="s">
        <v>1225</v>
      </c>
      <c r="I156" s="70" t="s">
        <v>2619</v>
      </c>
      <c r="J156" s="70" t="s">
        <v>2620</v>
      </c>
      <c r="K156" s="78" t="s">
        <v>2621</v>
      </c>
      <c r="L156" s="70" t="s">
        <v>2622</v>
      </c>
      <c r="M156" s="70" t="s">
        <v>631</v>
      </c>
      <c r="N156" s="70" t="s">
        <v>2623</v>
      </c>
      <c r="O156" s="70" t="s">
        <v>2426</v>
      </c>
      <c r="P156" s="70" t="s">
        <v>2624</v>
      </c>
      <c r="Q156" s="70" t="s">
        <v>652</v>
      </c>
      <c r="R156" s="70" t="s">
        <v>2443</v>
      </c>
      <c r="S156" s="70" t="s">
        <v>2625</v>
      </c>
      <c r="T156" s="70" t="s">
        <v>631</v>
      </c>
      <c r="U156" s="70" t="s">
        <v>631</v>
      </c>
      <c r="V156" s="70" t="s">
        <v>2626</v>
      </c>
      <c r="W156" s="70" t="s">
        <v>2444</v>
      </c>
      <c r="X156" s="79" t="s">
        <v>2627</v>
      </c>
      <c r="Y156" s="80" t="s">
        <v>2555</v>
      </c>
      <c r="Z156" s="80" t="s">
        <v>2628</v>
      </c>
      <c r="AA156" s="70" t="s">
        <v>2629</v>
      </c>
      <c r="AB156" s="70" t="s">
        <v>2630</v>
      </c>
      <c r="AC156" s="80"/>
      <c r="AD156" s="70" t="s">
        <v>2867</v>
      </c>
    </row>
    <row r="157" spans="1:30" s="82" customFormat="1" ht="125.25" customHeight="1">
      <c r="A157" s="70">
        <f t="shared" si="2"/>
        <v>154</v>
      </c>
      <c r="B157" s="57" t="s">
        <v>2633</v>
      </c>
      <c r="C157" s="70" t="s">
        <v>2445</v>
      </c>
      <c r="D157" s="70" t="s">
        <v>2446</v>
      </c>
      <c r="E157" s="70">
        <v>1981</v>
      </c>
      <c r="F157" s="70" t="s">
        <v>10</v>
      </c>
      <c r="G157" s="70" t="s">
        <v>2447</v>
      </c>
      <c r="H157" s="70" t="s">
        <v>2448</v>
      </c>
      <c r="I157" s="70" t="s">
        <v>630</v>
      </c>
      <c r="J157" s="70" t="s">
        <v>630</v>
      </c>
      <c r="K157" s="78" t="s">
        <v>2634</v>
      </c>
      <c r="L157" s="70" t="s">
        <v>2635</v>
      </c>
      <c r="M157" s="70" t="s">
        <v>631</v>
      </c>
      <c r="N157" s="70" t="s">
        <v>2636</v>
      </c>
      <c r="O157" s="70" t="s">
        <v>2526</v>
      </c>
      <c r="P157" s="70" t="s">
        <v>2426</v>
      </c>
      <c r="Q157" s="70" t="s">
        <v>2598</v>
      </c>
      <c r="R157" s="70" t="s">
        <v>2637</v>
      </c>
      <c r="S157" s="70" t="s">
        <v>2638</v>
      </c>
      <c r="T157" s="70" t="s">
        <v>631</v>
      </c>
      <c r="U157" s="70" t="s">
        <v>631</v>
      </c>
      <c r="V157" s="70" t="s">
        <v>2639</v>
      </c>
      <c r="W157" s="70" t="s">
        <v>2449</v>
      </c>
      <c r="X157" s="79" t="s">
        <v>2640</v>
      </c>
      <c r="Y157" s="80" t="s">
        <v>2555</v>
      </c>
      <c r="Z157" s="80" t="s">
        <v>2641</v>
      </c>
      <c r="AA157" s="70" t="s">
        <v>2388</v>
      </c>
      <c r="AB157" s="70" t="s">
        <v>2642</v>
      </c>
      <c r="AC157" s="80"/>
      <c r="AD157" s="70" t="s">
        <v>2868</v>
      </c>
    </row>
    <row r="158" spans="1:30" s="82" customFormat="1" ht="125.25" customHeight="1">
      <c r="A158" s="70">
        <f t="shared" si="2"/>
        <v>155</v>
      </c>
      <c r="B158" s="57" t="s">
        <v>2450</v>
      </c>
      <c r="C158" s="70" t="s">
        <v>2451</v>
      </c>
      <c r="D158" s="70" t="s">
        <v>2643</v>
      </c>
      <c r="E158" s="70">
        <v>1980</v>
      </c>
      <c r="F158" s="70" t="s">
        <v>9</v>
      </c>
      <c r="G158" s="70" t="s">
        <v>2390</v>
      </c>
      <c r="H158" s="70" t="s">
        <v>2452</v>
      </c>
      <c r="I158" s="70" t="s">
        <v>630</v>
      </c>
      <c r="J158" s="70" t="s">
        <v>630</v>
      </c>
      <c r="K158" s="78" t="s">
        <v>2644</v>
      </c>
      <c r="L158" s="70" t="s">
        <v>2390</v>
      </c>
      <c r="M158" s="70" t="s">
        <v>631</v>
      </c>
      <c r="N158" s="70" t="s">
        <v>2645</v>
      </c>
      <c r="O158" s="70" t="s">
        <v>2550</v>
      </c>
      <c r="P158" s="70" t="s">
        <v>2646</v>
      </c>
      <c r="Q158" s="70" t="s">
        <v>2647</v>
      </c>
      <c r="R158" s="70" t="s">
        <v>2648</v>
      </c>
      <c r="S158" s="70" t="s">
        <v>2649</v>
      </c>
      <c r="T158" s="70" t="s">
        <v>631</v>
      </c>
      <c r="U158" s="70" t="s">
        <v>631</v>
      </c>
      <c r="V158" s="70" t="s">
        <v>2453</v>
      </c>
      <c r="W158" s="70" t="s">
        <v>2454</v>
      </c>
      <c r="X158" s="79" t="s">
        <v>2455</v>
      </c>
      <c r="Y158" s="80" t="s">
        <v>2555</v>
      </c>
      <c r="Z158" s="80" t="s">
        <v>2650</v>
      </c>
      <c r="AA158" s="70" t="s">
        <v>2388</v>
      </c>
      <c r="AB158" s="70" t="s">
        <v>2651</v>
      </c>
      <c r="AC158" s="80"/>
      <c r="AD158" s="70" t="s">
        <v>2869</v>
      </c>
    </row>
    <row r="159" spans="1:30" s="82" customFormat="1" ht="125.25" customHeight="1">
      <c r="A159" s="70">
        <f t="shared" si="2"/>
        <v>156</v>
      </c>
      <c r="B159" s="57" t="s">
        <v>2456</v>
      </c>
      <c r="C159" s="70" t="s">
        <v>2456</v>
      </c>
      <c r="D159" s="70" t="s">
        <v>2652</v>
      </c>
      <c r="E159" s="70">
        <v>1984</v>
      </c>
      <c r="F159" s="70" t="s">
        <v>9</v>
      </c>
      <c r="G159" s="70" t="s">
        <v>2390</v>
      </c>
      <c r="H159" s="70" t="s">
        <v>2452</v>
      </c>
      <c r="I159" s="70" t="s">
        <v>630</v>
      </c>
      <c r="J159" s="70" t="s">
        <v>630</v>
      </c>
      <c r="K159" s="78" t="s">
        <v>2653</v>
      </c>
      <c r="L159" s="70" t="s">
        <v>2654</v>
      </c>
      <c r="M159" s="70" t="s">
        <v>631</v>
      </c>
      <c r="N159" s="70" t="s">
        <v>2655</v>
      </c>
      <c r="O159" s="70" t="s">
        <v>2550</v>
      </c>
      <c r="P159" s="70" t="s">
        <v>2656</v>
      </c>
      <c r="Q159" s="70" t="s">
        <v>2386</v>
      </c>
      <c r="R159" s="70" t="s">
        <v>2657</v>
      </c>
      <c r="S159" s="70" t="s">
        <v>2658</v>
      </c>
      <c r="T159" s="70" t="s">
        <v>631</v>
      </c>
      <c r="U159" s="70" t="s">
        <v>631</v>
      </c>
      <c r="V159" s="70" t="s">
        <v>2659</v>
      </c>
      <c r="W159" s="70" t="s">
        <v>2457</v>
      </c>
      <c r="X159" s="79" t="s">
        <v>2660</v>
      </c>
      <c r="Y159" s="80" t="s">
        <v>2555</v>
      </c>
      <c r="Z159" s="80" t="s">
        <v>2661</v>
      </c>
      <c r="AA159" s="70" t="s">
        <v>2388</v>
      </c>
      <c r="AB159" s="70" t="s">
        <v>2662</v>
      </c>
      <c r="AC159" s="80"/>
      <c r="AD159" s="70" t="s">
        <v>2870</v>
      </c>
    </row>
    <row r="160" spans="1:30" s="82" customFormat="1" ht="125.25" customHeight="1">
      <c r="A160" s="70">
        <f t="shared" si="2"/>
        <v>157</v>
      </c>
      <c r="B160" s="57" t="s">
        <v>2458</v>
      </c>
      <c r="C160" s="70" t="s">
        <v>2459</v>
      </c>
      <c r="D160" s="70" t="s">
        <v>2663</v>
      </c>
      <c r="E160" s="70">
        <v>1985</v>
      </c>
      <c r="F160" s="70" t="s">
        <v>9</v>
      </c>
      <c r="G160" s="70" t="s">
        <v>2390</v>
      </c>
      <c r="H160" s="70" t="s">
        <v>2664</v>
      </c>
      <c r="I160" s="70" t="s">
        <v>630</v>
      </c>
      <c r="J160" s="70" t="s">
        <v>630</v>
      </c>
      <c r="K160" s="78" t="s">
        <v>2665</v>
      </c>
      <c r="L160" s="70" t="s">
        <v>2666</v>
      </c>
      <c r="M160" s="70" t="s">
        <v>631</v>
      </c>
      <c r="N160" s="70" t="s">
        <v>2667</v>
      </c>
      <c r="O160" s="70" t="s">
        <v>2426</v>
      </c>
      <c r="P160" s="70" t="s">
        <v>2668</v>
      </c>
      <c r="Q160" s="70" t="s">
        <v>652</v>
      </c>
      <c r="R160" s="70" t="s">
        <v>2669</v>
      </c>
      <c r="S160" s="70" t="s">
        <v>2670</v>
      </c>
      <c r="T160" s="70" t="s">
        <v>631</v>
      </c>
      <c r="U160" s="70" t="s">
        <v>631</v>
      </c>
      <c r="V160" s="70" t="s">
        <v>2460</v>
      </c>
      <c r="W160" s="70" t="s">
        <v>2461</v>
      </c>
      <c r="X160" s="79" t="s">
        <v>2462</v>
      </c>
      <c r="Y160" s="80" t="s">
        <v>2555</v>
      </c>
      <c r="Z160" s="80" t="s">
        <v>2671</v>
      </c>
      <c r="AA160" s="70" t="s">
        <v>2388</v>
      </c>
      <c r="AB160" s="70" t="s">
        <v>2672</v>
      </c>
      <c r="AC160" s="80"/>
      <c r="AD160" s="70" t="s">
        <v>2871</v>
      </c>
    </row>
    <row r="161" spans="1:30" s="82" customFormat="1" ht="125.25" customHeight="1">
      <c r="A161" s="70">
        <f t="shared" si="2"/>
        <v>158</v>
      </c>
      <c r="B161" s="57" t="s">
        <v>2673</v>
      </c>
      <c r="C161" s="70"/>
      <c r="D161" s="70" t="s">
        <v>2674</v>
      </c>
      <c r="E161" s="70">
        <v>2014</v>
      </c>
      <c r="F161" s="70" t="s">
        <v>9</v>
      </c>
      <c r="G161" s="70" t="s">
        <v>2390</v>
      </c>
      <c r="H161" s="70" t="s">
        <v>2577</v>
      </c>
      <c r="I161" s="70" t="s">
        <v>630</v>
      </c>
      <c r="J161" s="70" t="s">
        <v>2675</v>
      </c>
      <c r="K161" s="78" t="s">
        <v>2676</v>
      </c>
      <c r="L161" s="70" t="s">
        <v>2677</v>
      </c>
      <c r="M161" s="70" t="s">
        <v>631</v>
      </c>
      <c r="N161" s="70" t="s">
        <v>2678</v>
      </c>
      <c r="O161" s="70" t="s">
        <v>821</v>
      </c>
      <c r="P161" s="70" t="s">
        <v>876</v>
      </c>
      <c r="Q161" s="70" t="s">
        <v>2679</v>
      </c>
      <c r="R161" s="70" t="s">
        <v>662</v>
      </c>
      <c r="S161" s="70" t="s">
        <v>2680</v>
      </c>
      <c r="T161" s="70" t="s">
        <v>631</v>
      </c>
      <c r="U161" s="70" t="s">
        <v>631</v>
      </c>
      <c r="V161" s="70" t="s">
        <v>631</v>
      </c>
      <c r="W161" s="70" t="s">
        <v>2681</v>
      </c>
      <c r="X161" s="79" t="s">
        <v>2682</v>
      </c>
      <c r="Y161" s="80" t="s">
        <v>2555</v>
      </c>
      <c r="Z161" s="80" t="s">
        <v>2683</v>
      </c>
      <c r="AA161" s="70" t="s">
        <v>2388</v>
      </c>
      <c r="AB161" s="70" t="s">
        <v>2684</v>
      </c>
      <c r="AC161" s="80"/>
      <c r="AD161" s="70" t="s">
        <v>2872</v>
      </c>
    </row>
    <row r="162" spans="1:30" s="82" customFormat="1" ht="125.25" customHeight="1">
      <c r="A162" s="70">
        <f t="shared" si="2"/>
        <v>159</v>
      </c>
      <c r="B162" s="57" t="s">
        <v>2685</v>
      </c>
      <c r="C162" s="70" t="s">
        <v>2463</v>
      </c>
      <c r="D162" s="70" t="s">
        <v>2686</v>
      </c>
      <c r="E162" s="70">
        <v>1983</v>
      </c>
      <c r="F162" s="70" t="s">
        <v>9</v>
      </c>
      <c r="G162" s="70" t="s">
        <v>2390</v>
      </c>
      <c r="H162" s="70" t="s">
        <v>2452</v>
      </c>
      <c r="I162" s="70" t="s">
        <v>630</v>
      </c>
      <c r="J162" s="70" t="s">
        <v>2687</v>
      </c>
      <c r="K162" s="78" t="s">
        <v>2688</v>
      </c>
      <c r="L162" s="70" t="s">
        <v>2689</v>
      </c>
      <c r="M162" s="70" t="s">
        <v>631</v>
      </c>
      <c r="N162" s="70" t="s">
        <v>2690</v>
      </c>
      <c r="O162" s="70" t="s">
        <v>679</v>
      </c>
      <c r="P162" s="70" t="s">
        <v>2691</v>
      </c>
      <c r="Q162" s="70" t="s">
        <v>2598</v>
      </c>
      <c r="R162" s="70" t="s">
        <v>2692</v>
      </c>
      <c r="S162" s="70" t="s">
        <v>2693</v>
      </c>
      <c r="T162" s="70" t="s">
        <v>631</v>
      </c>
      <c r="U162" s="70" t="s">
        <v>631</v>
      </c>
      <c r="V162" s="70" t="s">
        <v>2694</v>
      </c>
      <c r="W162" s="70" t="s">
        <v>2464</v>
      </c>
      <c r="X162" s="79" t="s">
        <v>2465</v>
      </c>
      <c r="Y162" s="80" t="s">
        <v>2555</v>
      </c>
      <c r="Z162" s="80" t="s">
        <v>2695</v>
      </c>
      <c r="AA162" s="70" t="s">
        <v>2388</v>
      </c>
      <c r="AB162" s="70" t="s">
        <v>2696</v>
      </c>
      <c r="AC162" s="80"/>
      <c r="AD162" s="70" t="s">
        <v>2873</v>
      </c>
    </row>
    <row r="163" spans="1:30" s="82" customFormat="1" ht="125.25" customHeight="1">
      <c r="A163" s="70">
        <f t="shared" si="2"/>
        <v>160</v>
      </c>
      <c r="B163" s="57" t="s">
        <v>2698</v>
      </c>
      <c r="C163" s="70" t="s">
        <v>2699</v>
      </c>
      <c r="D163" s="70" t="s">
        <v>2466</v>
      </c>
      <c r="E163" s="70">
        <v>1983</v>
      </c>
      <c r="F163" s="70" t="s">
        <v>11</v>
      </c>
      <c r="G163" s="70" t="s">
        <v>2467</v>
      </c>
      <c r="H163" s="70" t="s">
        <v>1089</v>
      </c>
      <c r="I163" s="70" t="s">
        <v>630</v>
      </c>
      <c r="J163" s="70" t="s">
        <v>2700</v>
      </c>
      <c r="K163" s="78" t="s">
        <v>2701</v>
      </c>
      <c r="L163" s="70" t="s">
        <v>2702</v>
      </c>
      <c r="M163" s="70" t="s">
        <v>631</v>
      </c>
      <c r="N163" s="70" t="s">
        <v>2536</v>
      </c>
      <c r="O163" s="70" t="s">
        <v>821</v>
      </c>
      <c r="P163" s="70" t="s">
        <v>2703</v>
      </c>
      <c r="Q163" s="70" t="s">
        <v>652</v>
      </c>
      <c r="R163" s="70" t="s">
        <v>2704</v>
      </c>
      <c r="S163" s="70" t="s">
        <v>2705</v>
      </c>
      <c r="T163" s="70" t="s">
        <v>631</v>
      </c>
      <c r="U163" s="70" t="s">
        <v>631</v>
      </c>
      <c r="V163" s="70" t="s">
        <v>2706</v>
      </c>
      <c r="W163" s="70" t="s">
        <v>2469</v>
      </c>
      <c r="X163" s="79" t="s">
        <v>2707</v>
      </c>
      <c r="Y163" s="80" t="s">
        <v>2555</v>
      </c>
      <c r="Z163" s="80" t="s">
        <v>2708</v>
      </c>
      <c r="AA163" s="70" t="s">
        <v>2388</v>
      </c>
      <c r="AB163" s="70" t="s">
        <v>2709</v>
      </c>
      <c r="AC163" s="80"/>
      <c r="AD163" s="70" t="s">
        <v>2874</v>
      </c>
    </row>
    <row r="164" spans="1:30" s="82" customFormat="1" ht="125.25" customHeight="1">
      <c r="A164" s="70">
        <f t="shared" si="2"/>
        <v>161</v>
      </c>
      <c r="B164" s="57" t="s">
        <v>2470</v>
      </c>
      <c r="C164" s="70"/>
      <c r="D164" s="70" t="s">
        <v>2471</v>
      </c>
      <c r="E164" s="70">
        <v>1937</v>
      </c>
      <c r="F164" s="70" t="s">
        <v>9</v>
      </c>
      <c r="G164" s="70" t="s">
        <v>2390</v>
      </c>
      <c r="H164" s="70" t="s">
        <v>2710</v>
      </c>
      <c r="I164" s="70" t="s">
        <v>630</v>
      </c>
      <c r="J164" s="70" t="s">
        <v>2711</v>
      </c>
      <c r="K164" s="78" t="s">
        <v>2712</v>
      </c>
      <c r="L164" s="70" t="s">
        <v>2713</v>
      </c>
      <c r="M164" s="70" t="s">
        <v>631</v>
      </c>
      <c r="N164" s="70" t="s">
        <v>2714</v>
      </c>
      <c r="O164" s="70" t="s">
        <v>2570</v>
      </c>
      <c r="P164" s="70" t="s">
        <v>2715</v>
      </c>
      <c r="Q164" s="70" t="s">
        <v>2716</v>
      </c>
      <c r="R164" s="70" t="s">
        <v>2573</v>
      </c>
      <c r="S164" s="70" t="s">
        <v>2717</v>
      </c>
      <c r="T164" s="70" t="s">
        <v>631</v>
      </c>
      <c r="U164" s="70" t="s">
        <v>631</v>
      </c>
      <c r="V164" s="70" t="s">
        <v>2718</v>
      </c>
      <c r="W164" s="70" t="s">
        <v>2472</v>
      </c>
      <c r="X164" s="79" t="s">
        <v>2719</v>
      </c>
      <c r="Y164" s="80" t="s">
        <v>2555</v>
      </c>
      <c r="Z164" s="80" t="s">
        <v>2720</v>
      </c>
      <c r="AA164" s="70" t="s">
        <v>2388</v>
      </c>
      <c r="AB164" s="70" t="s">
        <v>2721</v>
      </c>
      <c r="AC164" s="80"/>
      <c r="AD164" s="70" t="s">
        <v>2875</v>
      </c>
    </row>
    <row r="165" spans="1:30" s="82" customFormat="1" ht="125.25" customHeight="1">
      <c r="A165" s="70">
        <f t="shared" si="2"/>
        <v>162</v>
      </c>
      <c r="B165" s="57" t="s">
        <v>2473</v>
      </c>
      <c r="C165" s="70" t="s">
        <v>2474</v>
      </c>
      <c r="D165" s="70" t="s">
        <v>2722</v>
      </c>
      <c r="E165" s="70">
        <v>1937</v>
      </c>
      <c r="F165" s="70" t="s">
        <v>11</v>
      </c>
      <c r="G165" s="70" t="s">
        <v>1873</v>
      </c>
      <c r="H165" s="70" t="s">
        <v>2475</v>
      </c>
      <c r="I165" s="70" t="s">
        <v>2723</v>
      </c>
      <c r="J165" s="70" t="s">
        <v>2724</v>
      </c>
      <c r="K165" s="78" t="s">
        <v>2725</v>
      </c>
      <c r="L165" s="70" t="s">
        <v>2726</v>
      </c>
      <c r="M165" s="70" t="s">
        <v>631</v>
      </c>
      <c r="N165" s="70" t="s">
        <v>2727</v>
      </c>
      <c r="O165" s="70" t="s">
        <v>679</v>
      </c>
      <c r="P165" s="70" t="s">
        <v>2728</v>
      </c>
      <c r="Q165" s="70" t="s">
        <v>2468</v>
      </c>
      <c r="R165" s="70" t="s">
        <v>2729</v>
      </c>
      <c r="S165" s="70" t="s">
        <v>2730</v>
      </c>
      <c r="T165" s="70" t="s">
        <v>631</v>
      </c>
      <c r="U165" s="70" t="s">
        <v>631</v>
      </c>
      <c r="V165" s="70" t="s">
        <v>2731</v>
      </c>
      <c r="W165" s="70" t="s">
        <v>2476</v>
      </c>
      <c r="X165" s="79" t="s">
        <v>2732</v>
      </c>
      <c r="Y165" s="80" t="s">
        <v>2555</v>
      </c>
      <c r="Z165" s="80" t="s">
        <v>2733</v>
      </c>
      <c r="AA165" s="70" t="s">
        <v>2734</v>
      </c>
      <c r="AB165" s="70" t="s">
        <v>2735</v>
      </c>
      <c r="AC165" s="80"/>
      <c r="AD165" s="70" t="s">
        <v>2876</v>
      </c>
    </row>
    <row r="166" spans="1:30" s="82" customFormat="1" ht="125.25" customHeight="1">
      <c r="A166" s="70">
        <f t="shared" si="2"/>
        <v>163</v>
      </c>
      <c r="B166" s="57" t="s">
        <v>2366</v>
      </c>
      <c r="C166" s="70" t="s">
        <v>2477</v>
      </c>
      <c r="D166" s="70" t="s">
        <v>2736</v>
      </c>
      <c r="E166" s="70">
        <v>1916</v>
      </c>
      <c r="F166" s="70" t="s">
        <v>9</v>
      </c>
      <c r="G166" s="70" t="s">
        <v>2390</v>
      </c>
      <c r="H166" s="70" t="s">
        <v>2577</v>
      </c>
      <c r="I166" s="70" t="s">
        <v>630</v>
      </c>
      <c r="J166" s="70" t="s">
        <v>2737</v>
      </c>
      <c r="K166" s="78" t="s">
        <v>2738</v>
      </c>
      <c r="L166" s="70" t="s">
        <v>2739</v>
      </c>
      <c r="M166" s="70" t="s">
        <v>631</v>
      </c>
      <c r="N166" s="70" t="s">
        <v>2740</v>
      </c>
      <c r="O166" s="70" t="s">
        <v>2741</v>
      </c>
      <c r="P166" s="70" t="s">
        <v>2742</v>
      </c>
      <c r="Q166" s="70" t="s">
        <v>2743</v>
      </c>
      <c r="R166" s="70" t="s">
        <v>2410</v>
      </c>
      <c r="S166" s="70" t="s">
        <v>2744</v>
      </c>
      <c r="T166" s="70" t="s">
        <v>631</v>
      </c>
      <c r="U166" s="70" t="s">
        <v>631</v>
      </c>
      <c r="V166" s="70" t="s">
        <v>2745</v>
      </c>
      <c r="W166" s="70" t="s">
        <v>2478</v>
      </c>
      <c r="X166" s="79" t="s">
        <v>2479</v>
      </c>
      <c r="Y166" s="80" t="s">
        <v>2555</v>
      </c>
      <c r="Z166" s="80" t="s">
        <v>2746</v>
      </c>
      <c r="AA166" s="70" t="s">
        <v>2747</v>
      </c>
      <c r="AB166" s="70" t="s">
        <v>2748</v>
      </c>
      <c r="AC166" s="80"/>
      <c r="AD166" s="70" t="s">
        <v>2877</v>
      </c>
    </row>
    <row r="167" spans="1:30" s="82" customFormat="1" ht="125.25" customHeight="1">
      <c r="A167" s="70">
        <f t="shared" si="2"/>
        <v>164</v>
      </c>
      <c r="B167" s="57" t="s">
        <v>2367</v>
      </c>
      <c r="C167" s="70" t="s">
        <v>2480</v>
      </c>
      <c r="D167" s="70" t="s">
        <v>2751</v>
      </c>
      <c r="E167" s="70">
        <v>1991</v>
      </c>
      <c r="F167" s="70" t="s">
        <v>9</v>
      </c>
      <c r="G167" s="70" t="s">
        <v>2390</v>
      </c>
      <c r="H167" s="70" t="s">
        <v>2607</v>
      </c>
      <c r="I167" s="70" t="s">
        <v>2752</v>
      </c>
      <c r="J167" s="70" t="s">
        <v>2749</v>
      </c>
      <c r="K167" s="78" t="s">
        <v>2753</v>
      </c>
      <c r="L167" s="70" t="s">
        <v>2754</v>
      </c>
      <c r="M167" s="70" t="s">
        <v>631</v>
      </c>
      <c r="N167" s="70" t="s">
        <v>2536</v>
      </c>
      <c r="O167" s="70" t="s">
        <v>821</v>
      </c>
      <c r="P167" s="70" t="s">
        <v>2755</v>
      </c>
      <c r="Q167" s="70" t="s">
        <v>2750</v>
      </c>
      <c r="R167" s="70" t="s">
        <v>2481</v>
      </c>
      <c r="S167" s="70" t="s">
        <v>2756</v>
      </c>
      <c r="T167" s="70" t="s">
        <v>631</v>
      </c>
      <c r="U167" s="70" t="s">
        <v>631</v>
      </c>
      <c r="V167" s="70" t="s">
        <v>2757</v>
      </c>
      <c r="W167" s="70" t="s">
        <v>2482</v>
      </c>
      <c r="X167" s="79" t="s">
        <v>2483</v>
      </c>
      <c r="Y167" s="80" t="s">
        <v>2555</v>
      </c>
      <c r="Z167" s="80" t="s">
        <v>2758</v>
      </c>
      <c r="AA167" s="70" t="s">
        <v>2759</v>
      </c>
      <c r="AB167" s="70" t="s">
        <v>2760</v>
      </c>
      <c r="AC167" s="80"/>
      <c r="AD167" s="70" t="s">
        <v>2878</v>
      </c>
    </row>
    <row r="168" spans="1:30" s="82" customFormat="1" ht="125.25" customHeight="1">
      <c r="A168" s="70">
        <f t="shared" si="2"/>
        <v>165</v>
      </c>
      <c r="B168" s="57" t="s">
        <v>2368</v>
      </c>
      <c r="C168" s="70" t="s">
        <v>2484</v>
      </c>
      <c r="D168" s="70" t="s">
        <v>2485</v>
      </c>
      <c r="E168" s="70">
        <v>1940</v>
      </c>
      <c r="F168" s="70" t="s">
        <v>9</v>
      </c>
      <c r="G168" s="70" t="s">
        <v>2390</v>
      </c>
      <c r="H168" s="70" t="s">
        <v>2577</v>
      </c>
      <c r="I168" s="70" t="s">
        <v>630</v>
      </c>
      <c r="J168" s="70" t="s">
        <v>2761</v>
      </c>
      <c r="K168" s="78" t="s">
        <v>2762</v>
      </c>
      <c r="L168" s="70" t="s">
        <v>2763</v>
      </c>
      <c r="M168" s="70" t="s">
        <v>631</v>
      </c>
      <c r="N168" s="70" t="s">
        <v>2764</v>
      </c>
      <c r="O168" s="70" t="s">
        <v>821</v>
      </c>
      <c r="P168" s="70" t="s">
        <v>2765</v>
      </c>
      <c r="Q168" s="70" t="s">
        <v>2766</v>
      </c>
      <c r="R168" s="70" t="s">
        <v>2767</v>
      </c>
      <c r="S168" s="70" t="s">
        <v>2768</v>
      </c>
      <c r="T168" s="70" t="s">
        <v>631</v>
      </c>
      <c r="U168" s="70" t="s">
        <v>631</v>
      </c>
      <c r="V168" s="70" t="s">
        <v>2486</v>
      </c>
      <c r="W168" s="70" t="s">
        <v>2487</v>
      </c>
      <c r="X168" s="79" t="s">
        <v>2488</v>
      </c>
      <c r="Y168" s="80" t="s">
        <v>2555</v>
      </c>
      <c r="Z168" s="80" t="s">
        <v>2769</v>
      </c>
      <c r="AA168" s="70" t="s">
        <v>2388</v>
      </c>
      <c r="AB168" s="70" t="s">
        <v>2770</v>
      </c>
      <c r="AC168" s="80"/>
      <c r="AD168" s="70" t="s">
        <v>2879</v>
      </c>
    </row>
    <row r="169" spans="1:30" s="82" customFormat="1" ht="125.25" customHeight="1">
      <c r="A169" s="70">
        <f t="shared" si="2"/>
        <v>166</v>
      </c>
      <c r="B169" s="57" t="s">
        <v>2369</v>
      </c>
      <c r="C169" s="70" t="s">
        <v>2489</v>
      </c>
      <c r="D169" s="70" t="s">
        <v>2490</v>
      </c>
      <c r="E169" s="70">
        <v>1951</v>
      </c>
      <c r="F169" s="70" t="s">
        <v>9</v>
      </c>
      <c r="G169" s="70" t="s">
        <v>2390</v>
      </c>
      <c r="H169" s="70" t="s">
        <v>2771</v>
      </c>
      <c r="I169" s="70" t="s">
        <v>630</v>
      </c>
      <c r="J169" s="70" t="s">
        <v>2772</v>
      </c>
      <c r="K169" s="78" t="s">
        <v>2773</v>
      </c>
      <c r="L169" s="70" t="s">
        <v>2774</v>
      </c>
      <c r="M169" s="70" t="s">
        <v>631</v>
      </c>
      <c r="N169" s="70" t="s">
        <v>2678</v>
      </c>
      <c r="O169" s="70" t="s">
        <v>821</v>
      </c>
      <c r="P169" s="70" t="s">
        <v>876</v>
      </c>
      <c r="Q169" s="70" t="s">
        <v>2775</v>
      </c>
      <c r="R169" s="70" t="s">
        <v>2776</v>
      </c>
      <c r="S169" s="70" t="s">
        <v>2777</v>
      </c>
      <c r="T169" s="70" t="s">
        <v>631</v>
      </c>
      <c r="U169" s="70" t="s">
        <v>631</v>
      </c>
      <c r="V169" s="70" t="s">
        <v>631</v>
      </c>
      <c r="W169" s="70" t="s">
        <v>2778</v>
      </c>
      <c r="X169" s="79" t="s">
        <v>2491</v>
      </c>
      <c r="Y169" s="80" t="s">
        <v>2555</v>
      </c>
      <c r="Z169" s="80" t="s">
        <v>2779</v>
      </c>
      <c r="AA169" s="70" t="s">
        <v>2388</v>
      </c>
      <c r="AB169" s="70" t="s">
        <v>2780</v>
      </c>
      <c r="AC169" s="80"/>
      <c r="AD169" s="70" t="s">
        <v>2880</v>
      </c>
    </row>
    <row r="170" spans="1:30" s="82" customFormat="1" ht="125.25" customHeight="1">
      <c r="A170" s="70">
        <f t="shared" si="2"/>
        <v>167</v>
      </c>
      <c r="B170" s="57" t="s">
        <v>2370</v>
      </c>
      <c r="C170" s="70" t="s">
        <v>2492</v>
      </c>
      <c r="D170" s="70" t="s">
        <v>2493</v>
      </c>
      <c r="E170" s="70">
        <v>1973</v>
      </c>
      <c r="F170" s="70" t="s">
        <v>9</v>
      </c>
      <c r="G170" s="70" t="s">
        <v>2390</v>
      </c>
      <c r="H170" s="70" t="s">
        <v>2452</v>
      </c>
      <c r="I170" s="70" t="s">
        <v>2781</v>
      </c>
      <c r="J170" s="70" t="s">
        <v>2782</v>
      </c>
      <c r="K170" s="78" t="s">
        <v>2783</v>
      </c>
      <c r="L170" s="70" t="s">
        <v>2784</v>
      </c>
      <c r="M170" s="70" t="s">
        <v>631</v>
      </c>
      <c r="N170" s="70" t="s">
        <v>2785</v>
      </c>
      <c r="O170" s="70" t="s">
        <v>2786</v>
      </c>
      <c r="P170" s="70" t="s">
        <v>2787</v>
      </c>
      <c r="Q170" s="70" t="s">
        <v>2788</v>
      </c>
      <c r="R170" s="70" t="s">
        <v>2789</v>
      </c>
      <c r="S170" s="70" t="s">
        <v>2790</v>
      </c>
      <c r="T170" s="70" t="s">
        <v>631</v>
      </c>
      <c r="U170" s="70" t="s">
        <v>631</v>
      </c>
      <c r="V170" s="70" t="s">
        <v>2791</v>
      </c>
      <c r="W170" s="70" t="s">
        <v>2494</v>
      </c>
      <c r="X170" s="79" t="s">
        <v>2495</v>
      </c>
      <c r="Y170" s="80" t="s">
        <v>2555</v>
      </c>
      <c r="Z170" s="80" t="s">
        <v>2792</v>
      </c>
      <c r="AA170" s="70" t="s">
        <v>2793</v>
      </c>
      <c r="AB170" s="70" t="s">
        <v>2794</v>
      </c>
      <c r="AC170" s="80"/>
      <c r="AD170" s="70" t="s">
        <v>2881</v>
      </c>
    </row>
    <row r="171" spans="1:30" s="82" customFormat="1" ht="125.25" customHeight="1">
      <c r="A171" s="70">
        <f t="shared" si="2"/>
        <v>168</v>
      </c>
      <c r="B171" s="57" t="s">
        <v>2795</v>
      </c>
      <c r="C171" s="70" t="s">
        <v>2796</v>
      </c>
      <c r="D171" s="70" t="s">
        <v>2797</v>
      </c>
      <c r="E171" s="70" t="s">
        <v>2886</v>
      </c>
      <c r="F171" s="70" t="s">
        <v>9</v>
      </c>
      <c r="G171" s="70" t="s">
        <v>2390</v>
      </c>
      <c r="H171" s="70" t="s">
        <v>2798</v>
      </c>
      <c r="I171" s="70" t="s">
        <v>630</v>
      </c>
      <c r="J171" s="70" t="s">
        <v>2799</v>
      </c>
      <c r="K171" s="78" t="s">
        <v>2800</v>
      </c>
      <c r="L171" s="70" t="s">
        <v>2801</v>
      </c>
      <c r="M171" s="70" t="s">
        <v>2802</v>
      </c>
      <c r="N171" s="70" t="s">
        <v>2803</v>
      </c>
      <c r="O171" s="70" t="s">
        <v>2804</v>
      </c>
      <c r="P171" s="70" t="s">
        <v>2805</v>
      </c>
      <c r="Q171" s="70" t="s">
        <v>2806</v>
      </c>
      <c r="R171" s="70" t="s">
        <v>2807</v>
      </c>
      <c r="S171" s="70" t="s">
        <v>2808</v>
      </c>
      <c r="T171" s="70" t="s">
        <v>631</v>
      </c>
      <c r="U171" s="70" t="s">
        <v>631</v>
      </c>
      <c r="V171" s="70" t="s">
        <v>2809</v>
      </c>
      <c r="W171" s="70" t="s">
        <v>2810</v>
      </c>
      <c r="X171" s="79" t="s">
        <v>2811</v>
      </c>
      <c r="Y171" s="80" t="s">
        <v>2555</v>
      </c>
      <c r="Z171" s="80" t="s">
        <v>2812</v>
      </c>
      <c r="AA171" s="70" t="s">
        <v>2388</v>
      </c>
      <c r="AB171" s="70" t="s">
        <v>2813</v>
      </c>
      <c r="AC171" s="80"/>
      <c r="AD171" s="70" t="s">
        <v>2882</v>
      </c>
    </row>
    <row r="172" spans="1:30" s="82" customFormat="1" ht="125.25" customHeight="1">
      <c r="A172" s="70">
        <f t="shared" si="2"/>
        <v>169</v>
      </c>
      <c r="B172" s="57" t="s">
        <v>2496</v>
      </c>
      <c r="C172" s="70" t="s">
        <v>2496</v>
      </c>
      <c r="D172" s="70" t="s">
        <v>2814</v>
      </c>
      <c r="E172" s="70">
        <v>1999</v>
      </c>
      <c r="F172" s="70" t="s">
        <v>9</v>
      </c>
      <c r="G172" s="70" t="s">
        <v>2390</v>
      </c>
      <c r="H172" s="70" t="s">
        <v>2607</v>
      </c>
      <c r="I172" s="70" t="s">
        <v>2823</v>
      </c>
      <c r="J172" s="70" t="s">
        <v>2815</v>
      </c>
      <c r="K172" s="78" t="s">
        <v>2824</v>
      </c>
      <c r="L172" s="70" t="s">
        <v>2820</v>
      </c>
      <c r="M172" s="70" t="s">
        <v>631</v>
      </c>
      <c r="N172" s="70" t="s">
        <v>2623</v>
      </c>
      <c r="O172" s="70" t="s">
        <v>2426</v>
      </c>
      <c r="P172" s="70" t="s">
        <v>679</v>
      </c>
      <c r="Q172" s="70" t="s">
        <v>1207</v>
      </c>
      <c r="R172" s="70" t="s">
        <v>2816</v>
      </c>
      <c r="S172" s="70" t="s">
        <v>2817</v>
      </c>
      <c r="T172" s="70" t="s">
        <v>631</v>
      </c>
      <c r="U172" s="70" t="s">
        <v>631</v>
      </c>
      <c r="V172" s="70" t="s">
        <v>2818</v>
      </c>
      <c r="W172" s="70" t="s">
        <v>2497</v>
      </c>
      <c r="X172" s="79" t="s">
        <v>2819</v>
      </c>
      <c r="Y172" s="80" t="s">
        <v>2555</v>
      </c>
      <c r="Z172" s="80" t="s">
        <v>2821</v>
      </c>
      <c r="AA172" s="70" t="s">
        <v>2825</v>
      </c>
      <c r="AB172" s="70" t="s">
        <v>2822</v>
      </c>
      <c r="AC172" s="80"/>
      <c r="AD172" s="70" t="s">
        <v>2883</v>
      </c>
    </row>
    <row r="173" spans="1:30" s="82" customFormat="1" ht="125.25" customHeight="1">
      <c r="A173" s="70">
        <f t="shared" si="2"/>
        <v>170</v>
      </c>
      <c r="B173" s="57" t="s">
        <v>2826</v>
      </c>
      <c r="C173" s="70" t="s">
        <v>2827</v>
      </c>
      <c r="D173" s="70" t="s">
        <v>2828</v>
      </c>
      <c r="E173" s="70">
        <v>1993</v>
      </c>
      <c r="F173" s="70" t="s">
        <v>2829</v>
      </c>
      <c r="G173" s="70" t="s">
        <v>2830</v>
      </c>
      <c r="H173" s="70" t="s">
        <v>2831</v>
      </c>
      <c r="I173" s="70" t="s">
        <v>630</v>
      </c>
      <c r="J173" s="70" t="s">
        <v>630</v>
      </c>
      <c r="K173" s="78" t="s">
        <v>2832</v>
      </c>
      <c r="L173" s="70" t="s">
        <v>2830</v>
      </c>
      <c r="M173" s="70" t="s">
        <v>2833</v>
      </c>
      <c r="N173" s="70" t="s">
        <v>2834</v>
      </c>
      <c r="O173" s="70" t="s">
        <v>2426</v>
      </c>
      <c r="P173" s="70" t="s">
        <v>679</v>
      </c>
      <c r="Q173" s="70" t="s">
        <v>2835</v>
      </c>
      <c r="R173" s="70" t="s">
        <v>2836</v>
      </c>
      <c r="S173" s="70" t="s">
        <v>2837</v>
      </c>
      <c r="T173" s="70" t="s">
        <v>631</v>
      </c>
      <c r="U173" s="70" t="s">
        <v>631</v>
      </c>
      <c r="V173" s="70" t="s">
        <v>2838</v>
      </c>
      <c r="W173" s="70" t="s">
        <v>2839</v>
      </c>
      <c r="X173" s="79" t="s">
        <v>2840</v>
      </c>
      <c r="Y173" s="80" t="s">
        <v>2555</v>
      </c>
      <c r="Z173" s="80" t="s">
        <v>2841</v>
      </c>
      <c r="AA173" s="70" t="s">
        <v>2842</v>
      </c>
      <c r="AB173" s="70" t="s">
        <v>2843</v>
      </c>
      <c r="AC173" s="80"/>
      <c r="AD173" s="70" t="s">
        <v>2884</v>
      </c>
    </row>
    <row r="174" spans="1:30" s="82" customFormat="1" ht="125.25" customHeight="1">
      <c r="A174" s="70">
        <f t="shared" si="2"/>
        <v>171</v>
      </c>
      <c r="B174" s="57" t="s">
        <v>2844</v>
      </c>
      <c r="C174" s="70" t="s">
        <v>2845</v>
      </c>
      <c r="D174" s="70" t="s">
        <v>2846</v>
      </c>
      <c r="E174" s="70" t="s">
        <v>2697</v>
      </c>
      <c r="F174" s="70" t="s">
        <v>2829</v>
      </c>
      <c r="G174" s="70" t="s">
        <v>2847</v>
      </c>
      <c r="H174" s="70" t="s">
        <v>2848</v>
      </c>
      <c r="I174" s="70" t="s">
        <v>630</v>
      </c>
      <c r="J174" s="70" t="s">
        <v>630</v>
      </c>
      <c r="K174" s="78" t="s">
        <v>2849</v>
      </c>
      <c r="L174" s="70" t="s">
        <v>2847</v>
      </c>
      <c r="M174" s="70" t="s">
        <v>631</v>
      </c>
      <c r="N174" s="70" t="s">
        <v>2834</v>
      </c>
      <c r="O174" s="70" t="s">
        <v>2850</v>
      </c>
      <c r="P174" s="70" t="s">
        <v>2851</v>
      </c>
      <c r="Q174" s="70" t="s">
        <v>2852</v>
      </c>
      <c r="R174" s="70" t="s">
        <v>2853</v>
      </c>
      <c r="S174" s="70" t="s">
        <v>2649</v>
      </c>
      <c r="T174" s="70" t="s">
        <v>631</v>
      </c>
      <c r="U174" s="70" t="s">
        <v>631</v>
      </c>
      <c r="V174" s="70" t="s">
        <v>2838</v>
      </c>
      <c r="W174" s="70" t="s">
        <v>2839</v>
      </c>
      <c r="X174" s="79" t="s">
        <v>2840</v>
      </c>
      <c r="Y174" s="80" t="s">
        <v>2555</v>
      </c>
      <c r="Z174" s="80" t="s">
        <v>2854</v>
      </c>
      <c r="AA174" s="70" t="s">
        <v>2842</v>
      </c>
      <c r="AB174" s="70" t="s">
        <v>2855</v>
      </c>
      <c r="AC174" s="80"/>
      <c r="AD174" s="70" t="s">
        <v>2885</v>
      </c>
    </row>
    <row r="175" spans="1:30" s="82" customFormat="1" ht="125.25" customHeight="1">
      <c r="A175" s="70">
        <f t="shared" si="2"/>
        <v>172</v>
      </c>
      <c r="B175" s="57" t="s">
        <v>2888</v>
      </c>
      <c r="C175" s="70" t="s">
        <v>2889</v>
      </c>
      <c r="D175" s="70" t="s">
        <v>2890</v>
      </c>
      <c r="E175" s="70" t="s">
        <v>2904</v>
      </c>
      <c r="F175" s="70" t="s">
        <v>7</v>
      </c>
      <c r="G175" s="70" t="s">
        <v>2891</v>
      </c>
      <c r="H175" s="70" t="s">
        <v>2891</v>
      </c>
      <c r="I175" s="70" t="s">
        <v>630</v>
      </c>
      <c r="J175" s="70" t="s">
        <v>630</v>
      </c>
      <c r="K175" s="78" t="s">
        <v>2892</v>
      </c>
      <c r="L175" s="70" t="s">
        <v>2891</v>
      </c>
      <c r="M175" s="70" t="s">
        <v>631</v>
      </c>
      <c r="N175" s="70" t="s">
        <v>2893</v>
      </c>
      <c r="O175" s="70" t="s">
        <v>2894</v>
      </c>
      <c r="P175" s="70" t="s">
        <v>2895</v>
      </c>
      <c r="Q175" s="70" t="s">
        <v>2896</v>
      </c>
      <c r="R175" s="70" t="s">
        <v>2649</v>
      </c>
      <c r="S175" s="70" t="s">
        <v>2897</v>
      </c>
      <c r="T175" s="70" t="s">
        <v>2898</v>
      </c>
      <c r="U175" s="70" t="s">
        <v>2899</v>
      </c>
      <c r="V175" s="70" t="s">
        <v>2900</v>
      </c>
      <c r="W175" s="70" t="s">
        <v>2901</v>
      </c>
      <c r="X175" s="79" t="s">
        <v>2902</v>
      </c>
      <c r="Y175" s="80" t="s">
        <v>2555</v>
      </c>
      <c r="Z175" s="80" t="s">
        <v>2903</v>
      </c>
      <c r="AA175" s="70" t="s">
        <v>2388</v>
      </c>
      <c r="AB175" s="70" t="s">
        <v>2389</v>
      </c>
      <c r="AC175" s="80"/>
      <c r="AD175" s="70" t="s">
        <v>3435</v>
      </c>
    </row>
    <row r="176" spans="1:30" s="82" customFormat="1" ht="125.25" customHeight="1">
      <c r="A176" s="70">
        <f t="shared" si="2"/>
        <v>173</v>
      </c>
      <c r="B176" s="57" t="s">
        <v>2925</v>
      </c>
      <c r="C176" s="70" t="s">
        <v>2926</v>
      </c>
      <c r="D176" s="70" t="s">
        <v>2927</v>
      </c>
      <c r="E176" s="70" t="s">
        <v>2928</v>
      </c>
      <c r="F176" s="70" t="s">
        <v>11</v>
      </c>
      <c r="G176" s="70" t="s">
        <v>1873</v>
      </c>
      <c r="H176" s="70" t="s">
        <v>2929</v>
      </c>
      <c r="I176" s="70" t="s">
        <v>2930</v>
      </c>
      <c r="J176" s="70" t="s">
        <v>2931</v>
      </c>
      <c r="K176" s="78" t="s">
        <v>2932</v>
      </c>
      <c r="L176" s="70" t="s">
        <v>2933</v>
      </c>
      <c r="M176" s="70" t="s">
        <v>631</v>
      </c>
      <c r="N176" s="70" t="s">
        <v>2934</v>
      </c>
      <c r="O176" s="70" t="s">
        <v>2935</v>
      </c>
      <c r="P176" s="70" t="s">
        <v>2936</v>
      </c>
      <c r="Q176" s="70" t="s">
        <v>2937</v>
      </c>
      <c r="R176" s="70" t="s">
        <v>2938</v>
      </c>
      <c r="S176" s="70" t="s">
        <v>2939</v>
      </c>
      <c r="T176" s="70" t="s">
        <v>2940</v>
      </c>
      <c r="U176" s="70" t="s">
        <v>2941</v>
      </c>
      <c r="V176" s="70" t="s">
        <v>2942</v>
      </c>
      <c r="W176" s="70" t="s">
        <v>2943</v>
      </c>
      <c r="X176" s="79" t="s">
        <v>2944</v>
      </c>
      <c r="Y176" s="80" t="s">
        <v>2555</v>
      </c>
      <c r="Z176" s="80" t="s">
        <v>2945</v>
      </c>
      <c r="AA176" s="70" t="s">
        <v>2946</v>
      </c>
      <c r="AB176" s="70" t="s">
        <v>2947</v>
      </c>
      <c r="AC176" s="80"/>
      <c r="AD176" s="70" t="s">
        <v>3436</v>
      </c>
    </row>
    <row r="177" spans="1:30" s="82" customFormat="1" ht="125.25" customHeight="1">
      <c r="A177" s="70">
        <f t="shared" si="2"/>
        <v>174</v>
      </c>
      <c r="B177" s="57" t="s">
        <v>2948</v>
      </c>
      <c r="C177" s="70" t="s">
        <v>2948</v>
      </c>
      <c r="D177" s="70"/>
      <c r="E177" s="70">
        <v>2009</v>
      </c>
      <c r="F177" s="70" t="s">
        <v>9</v>
      </c>
      <c r="G177" s="70" t="s">
        <v>2390</v>
      </c>
      <c r="H177" s="70" t="s">
        <v>2607</v>
      </c>
      <c r="I177" s="70" t="s">
        <v>630</v>
      </c>
      <c r="J177" s="70" t="s">
        <v>2949</v>
      </c>
      <c r="K177" s="78" t="s">
        <v>2950</v>
      </c>
      <c r="L177" s="70" t="s">
        <v>2666</v>
      </c>
      <c r="M177" s="70" t="s">
        <v>631</v>
      </c>
      <c r="N177" s="70" t="s">
        <v>2951</v>
      </c>
      <c r="O177" s="70" t="s">
        <v>2426</v>
      </c>
      <c r="P177" s="70" t="s">
        <v>2952</v>
      </c>
      <c r="Q177" s="70" t="s">
        <v>2953</v>
      </c>
      <c r="R177" s="70" t="s">
        <v>2954</v>
      </c>
      <c r="S177" s="70" t="s">
        <v>2955</v>
      </c>
      <c r="T177" s="70" t="s">
        <v>2956</v>
      </c>
      <c r="U177" s="70" t="s">
        <v>2957</v>
      </c>
      <c r="V177" s="70" t="s">
        <v>2958</v>
      </c>
      <c r="W177" s="70" t="s">
        <v>2959</v>
      </c>
      <c r="X177" s="79" t="s">
        <v>2960</v>
      </c>
      <c r="Y177" s="80" t="s">
        <v>2555</v>
      </c>
      <c r="Z177" s="80" t="s">
        <v>2961</v>
      </c>
      <c r="AA177" s="70" t="s">
        <v>2962</v>
      </c>
      <c r="AB177" s="70" t="s">
        <v>2963</v>
      </c>
      <c r="AC177" s="80"/>
      <c r="AD177" s="70" t="s">
        <v>3437</v>
      </c>
    </row>
    <row r="178" spans="1:30" s="82" customFormat="1" ht="125.25" customHeight="1">
      <c r="A178" s="70">
        <f t="shared" si="2"/>
        <v>175</v>
      </c>
      <c r="B178" s="57" t="s">
        <v>2982</v>
      </c>
      <c r="C178" s="70" t="s">
        <v>2964</v>
      </c>
      <c r="D178" s="70"/>
      <c r="E178" s="70">
        <v>2019</v>
      </c>
      <c r="F178" s="70" t="s">
        <v>12</v>
      </c>
      <c r="G178" s="70" t="s">
        <v>2965</v>
      </c>
      <c r="H178" s="70" t="s">
        <v>2966</v>
      </c>
      <c r="I178" s="70" t="s">
        <v>630</v>
      </c>
      <c r="J178" s="70" t="s">
        <v>2967</v>
      </c>
      <c r="K178" s="78" t="s">
        <v>2968</v>
      </c>
      <c r="L178" s="70" t="s">
        <v>2969</v>
      </c>
      <c r="M178" s="70" t="s">
        <v>631</v>
      </c>
      <c r="N178" s="70" t="s">
        <v>2970</v>
      </c>
      <c r="O178" s="70" t="s">
        <v>2971</v>
      </c>
      <c r="P178" s="70" t="s">
        <v>2972</v>
      </c>
      <c r="Q178" s="70" t="s">
        <v>2973</v>
      </c>
      <c r="R178" s="70" t="s">
        <v>2974</v>
      </c>
      <c r="S178" s="70" t="s">
        <v>2975</v>
      </c>
      <c r="T178" s="70" t="s">
        <v>2976</v>
      </c>
      <c r="U178" s="70" t="s">
        <v>2977</v>
      </c>
      <c r="V178" s="70" t="s">
        <v>2978</v>
      </c>
      <c r="W178" s="70" t="s">
        <v>2979</v>
      </c>
      <c r="X178" s="79" t="s">
        <v>2840</v>
      </c>
      <c r="Y178" s="80" t="s">
        <v>2555</v>
      </c>
      <c r="Z178" s="80" t="s">
        <v>2980</v>
      </c>
      <c r="AA178" s="70" t="s">
        <v>2962</v>
      </c>
      <c r="AB178" s="70" t="s">
        <v>2981</v>
      </c>
      <c r="AC178" s="80"/>
      <c r="AD178" s="70" t="s">
        <v>3438</v>
      </c>
    </row>
    <row r="179" spans="1:30" s="82" customFormat="1" ht="125.25" customHeight="1">
      <c r="A179" s="70">
        <f t="shared" si="2"/>
        <v>176</v>
      </c>
      <c r="B179" s="57" t="s">
        <v>2983</v>
      </c>
      <c r="C179" s="70" t="s">
        <v>2983</v>
      </c>
      <c r="D179" s="70"/>
      <c r="E179" s="70">
        <v>2018</v>
      </c>
      <c r="F179" s="70" t="s">
        <v>11</v>
      </c>
      <c r="G179" s="70" t="s">
        <v>1873</v>
      </c>
      <c r="H179" s="70" t="s">
        <v>2929</v>
      </c>
      <c r="I179" s="70" t="s">
        <v>630</v>
      </c>
      <c r="J179" s="70" t="s">
        <v>630</v>
      </c>
      <c r="K179" s="78" t="s">
        <v>2984</v>
      </c>
      <c r="L179" s="70" t="s">
        <v>1873</v>
      </c>
      <c r="M179" s="70" t="s">
        <v>2985</v>
      </c>
      <c r="N179" s="70" t="s">
        <v>2986</v>
      </c>
      <c r="O179" s="70" t="s">
        <v>2426</v>
      </c>
      <c r="P179" s="70" t="s">
        <v>2987</v>
      </c>
      <c r="Q179" s="70" t="s">
        <v>2988</v>
      </c>
      <c r="R179" s="70" t="s">
        <v>2989</v>
      </c>
      <c r="S179" s="70" t="s">
        <v>2990</v>
      </c>
      <c r="T179" s="70" t="s">
        <v>2991</v>
      </c>
      <c r="U179" s="70" t="s">
        <v>2992</v>
      </c>
      <c r="V179" s="70" t="s">
        <v>2993</v>
      </c>
      <c r="W179" s="70" t="s">
        <v>2994</v>
      </c>
      <c r="X179" s="79" t="s">
        <v>2840</v>
      </c>
      <c r="Y179" s="80" t="s">
        <v>2555</v>
      </c>
      <c r="Z179" s="80" t="s">
        <v>2995</v>
      </c>
      <c r="AA179" s="70" t="s">
        <v>2996</v>
      </c>
      <c r="AB179" s="70" t="s">
        <v>2997</v>
      </c>
      <c r="AC179" s="80"/>
      <c r="AD179" s="70" t="s">
        <v>3439</v>
      </c>
    </row>
    <row r="180" spans="1:30" s="82" customFormat="1" ht="125.25" customHeight="1">
      <c r="A180" s="70">
        <f t="shared" si="2"/>
        <v>177</v>
      </c>
      <c r="B180" s="57" t="s">
        <v>2998</v>
      </c>
      <c r="C180" s="70" t="s">
        <v>2998</v>
      </c>
      <c r="D180" s="70"/>
      <c r="E180" s="70">
        <v>2016</v>
      </c>
      <c r="F180" s="70" t="s">
        <v>8</v>
      </c>
      <c r="G180" s="70" t="s">
        <v>2999</v>
      </c>
      <c r="H180" s="70" t="s">
        <v>3000</v>
      </c>
      <c r="I180" s="70" t="s">
        <v>630</v>
      </c>
      <c r="J180" s="70" t="s">
        <v>630</v>
      </c>
      <c r="K180" s="78" t="s">
        <v>3001</v>
      </c>
      <c r="L180" s="70" t="s">
        <v>2999</v>
      </c>
      <c r="M180" s="70" t="s">
        <v>3002</v>
      </c>
      <c r="N180" s="70" t="s">
        <v>3003</v>
      </c>
      <c r="O180" s="70" t="s">
        <v>3004</v>
      </c>
      <c r="P180" s="70" t="s">
        <v>3005</v>
      </c>
      <c r="Q180" s="70" t="s">
        <v>3006</v>
      </c>
      <c r="R180" s="70" t="s">
        <v>3007</v>
      </c>
      <c r="S180" s="70" t="s">
        <v>3008</v>
      </c>
      <c r="T180" s="70" t="s">
        <v>3009</v>
      </c>
      <c r="U180" s="70" t="s">
        <v>3010</v>
      </c>
      <c r="V180" s="70" t="s">
        <v>3011</v>
      </c>
      <c r="W180" s="70" t="s">
        <v>2839</v>
      </c>
      <c r="X180" s="79" t="s">
        <v>2840</v>
      </c>
      <c r="Y180" s="80" t="s">
        <v>2555</v>
      </c>
      <c r="Z180" s="80" t="s">
        <v>3012</v>
      </c>
      <c r="AA180" s="70" t="s">
        <v>2842</v>
      </c>
      <c r="AB180" s="70" t="s">
        <v>3013</v>
      </c>
      <c r="AC180" s="80"/>
      <c r="AD180" s="70" t="s">
        <v>3440</v>
      </c>
    </row>
    <row r="181" spans="1:30" s="82" customFormat="1" ht="125.25" customHeight="1">
      <c r="A181" s="70">
        <f t="shared" si="2"/>
        <v>178</v>
      </c>
      <c r="B181" s="57" t="s">
        <v>3014</v>
      </c>
      <c r="C181" s="70" t="s">
        <v>3015</v>
      </c>
      <c r="D181" s="70"/>
      <c r="E181" s="70">
        <v>1992</v>
      </c>
      <c r="F181" s="70" t="s">
        <v>10</v>
      </c>
      <c r="G181" s="70" t="s">
        <v>3016</v>
      </c>
      <c r="H181" s="70" t="s">
        <v>3017</v>
      </c>
      <c r="I181" s="70" t="s">
        <v>630</v>
      </c>
      <c r="J181" s="70" t="s">
        <v>3018</v>
      </c>
      <c r="K181" s="78" t="s">
        <v>3019</v>
      </c>
      <c r="L181" s="70" t="s">
        <v>3016</v>
      </c>
      <c r="M181" s="70" t="s">
        <v>3020</v>
      </c>
      <c r="N181" s="70" t="s">
        <v>3021</v>
      </c>
      <c r="O181" s="70" t="s">
        <v>679</v>
      </c>
      <c r="P181" s="70" t="s">
        <v>3022</v>
      </c>
      <c r="Q181" s="70" t="s">
        <v>2974</v>
      </c>
      <c r="R181" s="70" t="s">
        <v>3023</v>
      </c>
      <c r="S181" s="70" t="s">
        <v>3024</v>
      </c>
      <c r="T181" s="70" t="s">
        <v>3025</v>
      </c>
      <c r="U181" s="70" t="s">
        <v>3026</v>
      </c>
      <c r="V181" s="70" t="s">
        <v>3027</v>
      </c>
      <c r="W181" s="70" t="s">
        <v>3028</v>
      </c>
      <c r="X181" s="79" t="s">
        <v>2840</v>
      </c>
      <c r="Y181" s="80" t="s">
        <v>2555</v>
      </c>
      <c r="Z181" s="80" t="s">
        <v>3029</v>
      </c>
      <c r="AA181" s="70" t="s">
        <v>2842</v>
      </c>
      <c r="AB181" s="70" t="s">
        <v>3030</v>
      </c>
      <c r="AC181" s="80"/>
      <c r="AD181" s="70" t="s">
        <v>3441</v>
      </c>
    </row>
    <row r="182" spans="1:30" s="82" customFormat="1" ht="125.25" customHeight="1">
      <c r="A182" s="70">
        <f t="shared" si="2"/>
        <v>179</v>
      </c>
      <c r="B182" s="57" t="s">
        <v>3031</v>
      </c>
      <c r="C182" s="70" t="s">
        <v>3032</v>
      </c>
      <c r="D182" s="70"/>
      <c r="E182" s="70">
        <v>2000</v>
      </c>
      <c r="F182" s="70" t="s">
        <v>11</v>
      </c>
      <c r="G182" s="70" t="s">
        <v>2442</v>
      </c>
      <c r="H182" s="70" t="s">
        <v>1225</v>
      </c>
      <c r="I182" s="70" t="s">
        <v>630</v>
      </c>
      <c r="J182" s="70" t="s">
        <v>3033</v>
      </c>
      <c r="K182" s="78" t="s">
        <v>3034</v>
      </c>
      <c r="L182" s="70" t="s">
        <v>2933</v>
      </c>
      <c r="M182" s="70" t="s">
        <v>631</v>
      </c>
      <c r="N182" s="70" t="s">
        <v>3035</v>
      </c>
      <c r="O182" s="70" t="s">
        <v>2624</v>
      </c>
      <c r="P182" s="70" t="s">
        <v>3036</v>
      </c>
      <c r="Q182" s="70" t="s">
        <v>3037</v>
      </c>
      <c r="R182" s="70" t="s">
        <v>2649</v>
      </c>
      <c r="S182" s="70" t="s">
        <v>3038</v>
      </c>
      <c r="T182" s="70" t="s">
        <v>3039</v>
      </c>
      <c r="U182" s="70" t="s">
        <v>3040</v>
      </c>
      <c r="V182" s="70" t="s">
        <v>3041</v>
      </c>
      <c r="W182" s="70" t="s">
        <v>3042</v>
      </c>
      <c r="X182" s="79" t="s">
        <v>2840</v>
      </c>
      <c r="Y182" s="80" t="s">
        <v>2555</v>
      </c>
      <c r="Z182" s="80" t="s">
        <v>3043</v>
      </c>
      <c r="AA182" s="70" t="s">
        <v>3044</v>
      </c>
      <c r="AB182" s="70" t="s">
        <v>3045</v>
      </c>
      <c r="AC182" s="80"/>
      <c r="AD182" s="70" t="s">
        <v>3442</v>
      </c>
    </row>
    <row r="183" spans="1:30" s="82" customFormat="1" ht="125.25" customHeight="1">
      <c r="A183" s="70">
        <f t="shared" si="2"/>
        <v>180</v>
      </c>
      <c r="B183" s="57" t="s">
        <v>3046</v>
      </c>
      <c r="C183" s="70" t="s">
        <v>3047</v>
      </c>
      <c r="D183" s="70" t="s">
        <v>3048</v>
      </c>
      <c r="E183" s="70">
        <v>1982</v>
      </c>
      <c r="F183" s="70" t="s">
        <v>9</v>
      </c>
      <c r="G183" s="70" t="s">
        <v>2390</v>
      </c>
      <c r="H183" s="70" t="s">
        <v>3049</v>
      </c>
      <c r="I183" s="70" t="s">
        <v>630</v>
      </c>
      <c r="J183" s="70" t="s">
        <v>3051</v>
      </c>
      <c r="K183" s="78" t="s">
        <v>3052</v>
      </c>
      <c r="L183" s="70" t="s">
        <v>3053</v>
      </c>
      <c r="M183" s="70" t="s">
        <v>631</v>
      </c>
      <c r="N183" s="70" t="s">
        <v>3054</v>
      </c>
      <c r="O183" s="70" t="s">
        <v>3055</v>
      </c>
      <c r="P183" s="70" t="s">
        <v>3056</v>
      </c>
      <c r="Q183" s="70" t="s">
        <v>3057</v>
      </c>
      <c r="R183" s="70" t="s">
        <v>3058</v>
      </c>
      <c r="S183" s="70" t="s">
        <v>3059</v>
      </c>
      <c r="T183" s="70" t="s">
        <v>3060</v>
      </c>
      <c r="U183" s="70" t="s">
        <v>3061</v>
      </c>
      <c r="V183" s="70" t="s">
        <v>3062</v>
      </c>
      <c r="W183" s="70" t="s">
        <v>3063</v>
      </c>
      <c r="X183" s="79" t="s">
        <v>3064</v>
      </c>
      <c r="Y183" s="80" t="s">
        <v>2555</v>
      </c>
      <c r="Z183" s="80" t="s">
        <v>3065</v>
      </c>
      <c r="AA183" s="70" t="s">
        <v>3066</v>
      </c>
      <c r="AB183" s="70" t="s">
        <v>3067</v>
      </c>
      <c r="AC183" s="80"/>
      <c r="AD183" s="70" t="s">
        <v>3443</v>
      </c>
    </row>
    <row r="184" spans="1:30" s="82" customFormat="1" ht="125.25" customHeight="1">
      <c r="A184" s="70">
        <f t="shared" si="2"/>
        <v>181</v>
      </c>
      <c r="B184" s="57" t="s">
        <v>3068</v>
      </c>
      <c r="C184" s="70" t="s">
        <v>3069</v>
      </c>
      <c r="D184" s="70"/>
      <c r="E184" s="70" t="s">
        <v>3070</v>
      </c>
      <c r="F184" s="70" t="s">
        <v>7</v>
      </c>
      <c r="G184" s="70" t="s">
        <v>3071</v>
      </c>
      <c r="H184" s="70" t="s">
        <v>3072</v>
      </c>
      <c r="I184" s="70" t="s">
        <v>630</v>
      </c>
      <c r="J184" s="70" t="s">
        <v>630</v>
      </c>
      <c r="K184" s="78" t="s">
        <v>3073</v>
      </c>
      <c r="L184" s="70" t="s">
        <v>3071</v>
      </c>
      <c r="M184" s="70" t="s">
        <v>631</v>
      </c>
      <c r="N184" s="70" t="s">
        <v>2986</v>
      </c>
      <c r="O184" s="70" t="s">
        <v>679</v>
      </c>
      <c r="P184" s="70" t="s">
        <v>3074</v>
      </c>
      <c r="Q184" s="70" t="s">
        <v>3075</v>
      </c>
      <c r="R184" s="70" t="s">
        <v>2974</v>
      </c>
      <c r="S184" s="70" t="s">
        <v>3076</v>
      </c>
      <c r="T184" s="70" t="s">
        <v>3077</v>
      </c>
      <c r="U184" s="70" t="s">
        <v>609</v>
      </c>
      <c r="V184" s="70" t="s">
        <v>3078</v>
      </c>
      <c r="W184" s="70" t="s">
        <v>3079</v>
      </c>
      <c r="X184" s="79" t="s">
        <v>2840</v>
      </c>
      <c r="Y184" s="80" t="s">
        <v>2555</v>
      </c>
      <c r="Z184" s="80" t="s">
        <v>3080</v>
      </c>
      <c r="AA184" s="70" t="s">
        <v>2842</v>
      </c>
      <c r="AB184" s="70" t="s">
        <v>3081</v>
      </c>
      <c r="AC184" s="80"/>
      <c r="AD184" s="70" t="s">
        <v>3444</v>
      </c>
    </row>
    <row r="185" spans="1:30" s="82" customFormat="1" ht="125.25" customHeight="1">
      <c r="A185" s="70">
        <f t="shared" si="2"/>
        <v>182</v>
      </c>
      <c r="B185" s="57" t="s">
        <v>3082</v>
      </c>
      <c r="C185" s="70" t="s">
        <v>3083</v>
      </c>
      <c r="D185" s="70"/>
      <c r="E185" s="70" t="s">
        <v>3084</v>
      </c>
      <c r="F185" s="70" t="s">
        <v>11</v>
      </c>
      <c r="G185" s="70" t="s">
        <v>3085</v>
      </c>
      <c r="H185" s="70" t="s">
        <v>3086</v>
      </c>
      <c r="I185" s="70" t="s">
        <v>630</v>
      </c>
      <c r="J185" s="70" t="s">
        <v>3087</v>
      </c>
      <c r="K185" s="78" t="s">
        <v>3088</v>
      </c>
      <c r="L185" s="70" t="s">
        <v>3089</v>
      </c>
      <c r="M185" s="70" t="s">
        <v>631</v>
      </c>
      <c r="N185" s="70" t="s">
        <v>3090</v>
      </c>
      <c r="O185" s="70" t="s">
        <v>3091</v>
      </c>
      <c r="P185" s="70" t="s">
        <v>3092</v>
      </c>
      <c r="Q185" s="70" t="s">
        <v>3037</v>
      </c>
      <c r="R185" s="70" t="s">
        <v>2649</v>
      </c>
      <c r="S185" s="70" t="s">
        <v>3093</v>
      </c>
      <c r="T185" s="70" t="s">
        <v>3094</v>
      </c>
      <c r="U185" s="70" t="s">
        <v>3095</v>
      </c>
      <c r="V185" s="70" t="s">
        <v>3096</v>
      </c>
      <c r="W185" s="70" t="s">
        <v>3042</v>
      </c>
      <c r="X185" s="79" t="s">
        <v>2840</v>
      </c>
      <c r="Y185" s="80" t="s">
        <v>2555</v>
      </c>
      <c r="Z185" s="80" t="s">
        <v>3097</v>
      </c>
      <c r="AA185" s="70" t="s">
        <v>2388</v>
      </c>
      <c r="AB185" s="70" t="s">
        <v>3098</v>
      </c>
      <c r="AC185" s="80"/>
      <c r="AD185" s="70" t="s">
        <v>3445</v>
      </c>
    </row>
    <row r="186" spans="1:30" s="82" customFormat="1" ht="125.25" customHeight="1">
      <c r="A186" s="70">
        <f t="shared" si="2"/>
        <v>183</v>
      </c>
      <c r="B186" s="57" t="s">
        <v>3099</v>
      </c>
      <c r="C186" s="70" t="s">
        <v>3100</v>
      </c>
      <c r="D186" s="70" t="s">
        <v>3101</v>
      </c>
      <c r="E186" s="70">
        <v>1969</v>
      </c>
      <c r="F186" s="70" t="s">
        <v>3102</v>
      </c>
      <c r="G186" s="70" t="s">
        <v>3103</v>
      </c>
      <c r="H186" s="70" t="s">
        <v>3104</v>
      </c>
      <c r="I186" s="70" t="s">
        <v>630</v>
      </c>
      <c r="J186" s="70" t="s">
        <v>3105</v>
      </c>
      <c r="K186" s="78" t="s">
        <v>3106</v>
      </c>
      <c r="L186" s="70" t="s">
        <v>3107</v>
      </c>
      <c r="M186" s="70" t="s">
        <v>631</v>
      </c>
      <c r="N186" s="70" t="s">
        <v>3108</v>
      </c>
      <c r="O186" s="70" t="s">
        <v>3109</v>
      </c>
      <c r="P186" s="70" t="s">
        <v>3110</v>
      </c>
      <c r="Q186" s="70" t="s">
        <v>3111</v>
      </c>
      <c r="R186" s="70" t="s">
        <v>3112</v>
      </c>
      <c r="S186" s="70" t="s">
        <v>3113</v>
      </c>
      <c r="T186" s="70" t="s">
        <v>3114</v>
      </c>
      <c r="U186" s="70" t="s">
        <v>587</v>
      </c>
      <c r="V186" s="70" t="s">
        <v>3115</v>
      </c>
      <c r="W186" s="70" t="s">
        <v>3116</v>
      </c>
      <c r="X186" s="79" t="s">
        <v>3117</v>
      </c>
      <c r="Y186" s="80" t="s">
        <v>3118</v>
      </c>
      <c r="Z186" s="80" t="s">
        <v>3119</v>
      </c>
      <c r="AA186" s="70" t="s">
        <v>3120</v>
      </c>
      <c r="AB186" s="70" t="s">
        <v>3121</v>
      </c>
      <c r="AC186" s="80"/>
      <c r="AD186" s="70" t="s">
        <v>3446</v>
      </c>
    </row>
    <row r="187" spans="1:30" s="82" customFormat="1" ht="125.25" customHeight="1">
      <c r="A187" s="70">
        <f t="shared" si="2"/>
        <v>184</v>
      </c>
      <c r="B187" s="57" t="s">
        <v>3122</v>
      </c>
      <c r="C187" s="70" t="s">
        <v>3123</v>
      </c>
      <c r="D187" s="70"/>
      <c r="E187" s="70">
        <v>2021</v>
      </c>
      <c r="F187" s="70" t="s">
        <v>7</v>
      </c>
      <c r="G187" s="70" t="s">
        <v>3124</v>
      </c>
      <c r="H187" s="70" t="s">
        <v>3125</v>
      </c>
      <c r="I187" s="70" t="s">
        <v>630</v>
      </c>
      <c r="J187" s="70" t="s">
        <v>630</v>
      </c>
      <c r="K187" s="78" t="s">
        <v>3139</v>
      </c>
      <c r="L187" s="70" t="s">
        <v>3124</v>
      </c>
      <c r="M187" s="70" t="s">
        <v>631</v>
      </c>
      <c r="N187" s="70" t="s">
        <v>3126</v>
      </c>
      <c r="O187" s="70" t="s">
        <v>3127</v>
      </c>
      <c r="P187" s="70" t="s">
        <v>3128</v>
      </c>
      <c r="Q187" s="70" t="s">
        <v>3129</v>
      </c>
      <c r="R187" s="70" t="s">
        <v>3130</v>
      </c>
      <c r="S187" s="70" t="s">
        <v>3131</v>
      </c>
      <c r="T187" s="70" t="s">
        <v>3132</v>
      </c>
      <c r="U187" s="70" t="s">
        <v>3133</v>
      </c>
      <c r="V187" s="70" t="s">
        <v>3134</v>
      </c>
      <c r="W187" s="70" t="s">
        <v>3135</v>
      </c>
      <c r="X187" s="79" t="s">
        <v>2840</v>
      </c>
      <c r="Y187" s="80" t="s">
        <v>3136</v>
      </c>
      <c r="Z187" s="80" t="s">
        <v>3137</v>
      </c>
      <c r="AA187" s="70" t="s">
        <v>2388</v>
      </c>
      <c r="AB187" s="70" t="s">
        <v>3138</v>
      </c>
      <c r="AC187" s="80"/>
      <c r="AD187" s="70" t="s">
        <v>3447</v>
      </c>
    </row>
    <row r="188" spans="1:30" s="82" customFormat="1" ht="125.25" customHeight="1">
      <c r="A188" s="70">
        <f t="shared" si="2"/>
        <v>185</v>
      </c>
      <c r="B188" s="57" t="s">
        <v>3140</v>
      </c>
      <c r="C188" s="70" t="s">
        <v>3140</v>
      </c>
      <c r="D188" s="70"/>
      <c r="E188" s="70">
        <v>2016</v>
      </c>
      <c r="F188" s="70" t="s">
        <v>9</v>
      </c>
      <c r="G188" s="70" t="s">
        <v>2390</v>
      </c>
      <c r="H188" s="70" t="s">
        <v>3141</v>
      </c>
      <c r="I188" s="70" t="s">
        <v>3050</v>
      </c>
      <c r="J188" s="70" t="s">
        <v>3142</v>
      </c>
      <c r="K188" s="78" t="s">
        <v>3143</v>
      </c>
      <c r="L188" s="70" t="s">
        <v>3144</v>
      </c>
      <c r="M188" s="70" t="s">
        <v>631</v>
      </c>
      <c r="N188" s="70" t="s">
        <v>2986</v>
      </c>
      <c r="O188" s="70" t="s">
        <v>3145</v>
      </c>
      <c r="P188" s="70" t="s">
        <v>3146</v>
      </c>
      <c r="Q188" s="70" t="s">
        <v>3147</v>
      </c>
      <c r="R188" s="70" t="s">
        <v>3148</v>
      </c>
      <c r="S188" s="70" t="s">
        <v>3149</v>
      </c>
      <c r="T188" s="70" t="s">
        <v>3150</v>
      </c>
      <c r="U188" s="70" t="s">
        <v>3151</v>
      </c>
      <c r="V188" s="70" t="s">
        <v>3152</v>
      </c>
      <c r="W188" s="70" t="s">
        <v>3153</v>
      </c>
      <c r="X188" s="79" t="s">
        <v>2840</v>
      </c>
      <c r="Y188" s="80" t="s">
        <v>2555</v>
      </c>
      <c r="Z188" s="80" t="s">
        <v>3154</v>
      </c>
      <c r="AA188" s="70" t="s">
        <v>3155</v>
      </c>
      <c r="AB188" s="70" t="s">
        <v>3156</v>
      </c>
      <c r="AC188" s="80"/>
      <c r="AD188" s="70" t="s">
        <v>3448</v>
      </c>
    </row>
    <row r="189" spans="1:30" s="82" customFormat="1" ht="125.25" customHeight="1">
      <c r="A189" s="70">
        <f t="shared" si="2"/>
        <v>186</v>
      </c>
      <c r="B189" s="57" t="s">
        <v>3157</v>
      </c>
      <c r="C189" s="70" t="s">
        <v>3158</v>
      </c>
      <c r="D189" s="70"/>
      <c r="E189" s="70">
        <v>1992</v>
      </c>
      <c r="F189" s="70" t="s">
        <v>7</v>
      </c>
      <c r="G189" s="70" t="s">
        <v>3071</v>
      </c>
      <c r="H189" s="70" t="s">
        <v>3072</v>
      </c>
      <c r="I189" s="70" t="s">
        <v>630</v>
      </c>
      <c r="J189" s="70" t="s">
        <v>630</v>
      </c>
      <c r="K189" s="78" t="s">
        <v>3159</v>
      </c>
      <c r="L189" s="70" t="s">
        <v>3071</v>
      </c>
      <c r="M189" s="70" t="s">
        <v>631</v>
      </c>
      <c r="N189" s="70" t="s">
        <v>2986</v>
      </c>
      <c r="O189" s="70" t="s">
        <v>679</v>
      </c>
      <c r="P189" s="70" t="s">
        <v>3160</v>
      </c>
      <c r="Q189" s="70" t="s">
        <v>2974</v>
      </c>
      <c r="R189" s="70" t="s">
        <v>3130</v>
      </c>
      <c r="S189" s="70" t="s">
        <v>3161</v>
      </c>
      <c r="T189" s="70" t="s">
        <v>3162</v>
      </c>
      <c r="U189" s="70" t="s">
        <v>3163</v>
      </c>
      <c r="V189" s="70" t="s">
        <v>3164</v>
      </c>
      <c r="W189" s="70" t="s">
        <v>3079</v>
      </c>
      <c r="X189" s="79" t="s">
        <v>2840</v>
      </c>
      <c r="Y189" s="80" t="s">
        <v>2555</v>
      </c>
      <c r="Z189" s="80" t="s">
        <v>3165</v>
      </c>
      <c r="AA189" s="70" t="s">
        <v>2842</v>
      </c>
      <c r="AB189" s="70" t="s">
        <v>3081</v>
      </c>
      <c r="AC189" s="80"/>
      <c r="AD189" s="70" t="s">
        <v>3449</v>
      </c>
    </row>
    <row r="190" spans="1:30" s="82" customFormat="1" ht="125.25" customHeight="1">
      <c r="A190" s="70">
        <f t="shared" si="2"/>
        <v>187</v>
      </c>
      <c r="B190" s="57" t="s">
        <v>3180</v>
      </c>
      <c r="C190" s="70" t="s">
        <v>3181</v>
      </c>
      <c r="D190" s="70"/>
      <c r="E190" s="70">
        <v>2003</v>
      </c>
      <c r="F190" s="70" t="s">
        <v>11</v>
      </c>
      <c r="G190" s="70" t="s">
        <v>3166</v>
      </c>
      <c r="H190" s="70" t="s">
        <v>1268</v>
      </c>
      <c r="I190" s="70" t="s">
        <v>630</v>
      </c>
      <c r="J190" s="70" t="s">
        <v>630</v>
      </c>
      <c r="K190" s="78" t="s">
        <v>3167</v>
      </c>
      <c r="L190" s="70" t="s">
        <v>2985</v>
      </c>
      <c r="M190" s="70" t="s">
        <v>631</v>
      </c>
      <c r="N190" s="70" t="s">
        <v>3168</v>
      </c>
      <c r="O190" s="70" t="s">
        <v>3169</v>
      </c>
      <c r="P190" s="70" t="s">
        <v>3170</v>
      </c>
      <c r="Q190" s="70" t="s">
        <v>3171</v>
      </c>
      <c r="R190" s="70" t="s">
        <v>3172</v>
      </c>
      <c r="S190" s="70" t="s">
        <v>3173</v>
      </c>
      <c r="T190" s="70" t="s">
        <v>3174</v>
      </c>
      <c r="U190" s="70" t="s">
        <v>3175</v>
      </c>
      <c r="V190" s="70" t="s">
        <v>3176</v>
      </c>
      <c r="W190" s="70" t="s">
        <v>3177</v>
      </c>
      <c r="X190" s="79" t="s">
        <v>2840</v>
      </c>
      <c r="Y190" s="80" t="s">
        <v>2555</v>
      </c>
      <c r="Z190" s="80" t="s">
        <v>3178</v>
      </c>
      <c r="AA190" s="70" t="s">
        <v>2388</v>
      </c>
      <c r="AB190" s="70" t="s">
        <v>3179</v>
      </c>
      <c r="AC190" s="80"/>
      <c r="AD190" s="70" t="s">
        <v>3450</v>
      </c>
    </row>
    <row r="191" spans="1:30" s="82" customFormat="1" ht="125.25" customHeight="1">
      <c r="A191" s="70">
        <f t="shared" si="2"/>
        <v>188</v>
      </c>
      <c r="B191" s="57" t="s">
        <v>3182</v>
      </c>
      <c r="C191" s="70" t="s">
        <v>3183</v>
      </c>
      <c r="D191" s="70"/>
      <c r="E191" s="70" t="s">
        <v>3184</v>
      </c>
      <c r="F191" s="70" t="s">
        <v>9</v>
      </c>
      <c r="G191" s="70" t="s">
        <v>2390</v>
      </c>
      <c r="H191" s="70" t="s">
        <v>3185</v>
      </c>
      <c r="I191" s="70" t="s">
        <v>630</v>
      </c>
      <c r="J191" s="70" t="s">
        <v>630</v>
      </c>
      <c r="K191" s="78" t="s">
        <v>3186</v>
      </c>
      <c r="L191" s="70" t="s">
        <v>3187</v>
      </c>
      <c r="M191" s="70" t="s">
        <v>631</v>
      </c>
      <c r="N191" s="70" t="s">
        <v>3188</v>
      </c>
      <c r="O191" s="70" t="s">
        <v>3189</v>
      </c>
      <c r="P191" s="70" t="s">
        <v>3190</v>
      </c>
      <c r="Q191" s="70" t="s">
        <v>3191</v>
      </c>
      <c r="R191" s="70" t="s">
        <v>3192</v>
      </c>
      <c r="S191" s="70" t="s">
        <v>3193</v>
      </c>
      <c r="T191" s="70" t="s">
        <v>3194</v>
      </c>
      <c r="U191" s="70" t="s">
        <v>3195</v>
      </c>
      <c r="V191" s="70" t="s">
        <v>3196</v>
      </c>
      <c r="W191" s="70" t="s">
        <v>3197</v>
      </c>
      <c r="X191" s="79" t="s">
        <v>2840</v>
      </c>
      <c r="Y191" s="80" t="s">
        <v>2555</v>
      </c>
      <c r="Z191" s="80" t="s">
        <v>3198</v>
      </c>
      <c r="AA191" s="70" t="s">
        <v>2388</v>
      </c>
      <c r="AB191" s="70" t="s">
        <v>3199</v>
      </c>
      <c r="AC191" s="80"/>
      <c r="AD191" s="70" t="s">
        <v>3451</v>
      </c>
    </row>
    <row r="192" spans="1:30" s="82" customFormat="1" ht="125.25" customHeight="1">
      <c r="A192" s="70">
        <f t="shared" si="2"/>
        <v>189</v>
      </c>
      <c r="B192" s="57" t="s">
        <v>3200</v>
      </c>
      <c r="C192" s="70" t="s">
        <v>3200</v>
      </c>
      <c r="D192" s="70"/>
      <c r="E192" s="70">
        <v>2002</v>
      </c>
      <c r="F192" s="70" t="s">
        <v>11</v>
      </c>
      <c r="G192" s="70" t="s">
        <v>1873</v>
      </c>
      <c r="H192" s="70" t="s">
        <v>1862</v>
      </c>
      <c r="I192" s="70" t="s">
        <v>630</v>
      </c>
      <c r="J192" s="70" t="s">
        <v>630</v>
      </c>
      <c r="K192" s="78" t="s">
        <v>3201</v>
      </c>
      <c r="L192" s="70" t="s">
        <v>2933</v>
      </c>
      <c r="M192" s="70" t="s">
        <v>631</v>
      </c>
      <c r="N192" s="70" t="s">
        <v>2970</v>
      </c>
      <c r="O192" s="70" t="s">
        <v>3202</v>
      </c>
      <c r="P192" s="70" t="s">
        <v>3203</v>
      </c>
      <c r="Q192" s="70" t="s">
        <v>3204</v>
      </c>
      <c r="R192" s="70" t="s">
        <v>3205</v>
      </c>
      <c r="S192" s="70" t="s">
        <v>2916</v>
      </c>
      <c r="T192" s="70" t="s">
        <v>3206</v>
      </c>
      <c r="U192" s="70" t="s">
        <v>3207</v>
      </c>
      <c r="V192" s="70" t="s">
        <v>3208</v>
      </c>
      <c r="W192" s="70" t="s">
        <v>3209</v>
      </c>
      <c r="X192" s="79" t="s">
        <v>2840</v>
      </c>
      <c r="Y192" s="80" t="s">
        <v>2555</v>
      </c>
      <c r="Z192" s="80" t="s">
        <v>3210</v>
      </c>
      <c r="AA192" s="70" t="s">
        <v>2388</v>
      </c>
      <c r="AB192" s="70" t="s">
        <v>3211</v>
      </c>
      <c r="AC192" s="80"/>
      <c r="AD192" s="70" t="s">
        <v>3452</v>
      </c>
    </row>
    <row r="193" spans="1:30" s="82" customFormat="1" ht="125.25" customHeight="1">
      <c r="A193" s="70">
        <f t="shared" si="2"/>
        <v>190</v>
      </c>
      <c r="B193" s="57" t="s">
        <v>3212</v>
      </c>
      <c r="C193" s="70" t="s">
        <v>3213</v>
      </c>
      <c r="D193" s="70" t="s">
        <v>3214</v>
      </c>
      <c r="E193" s="70">
        <v>2003</v>
      </c>
      <c r="F193" s="70" t="s">
        <v>7</v>
      </c>
      <c r="G193" s="70" t="s">
        <v>3215</v>
      </c>
      <c r="H193" s="70" t="s">
        <v>3216</v>
      </c>
      <c r="I193" s="70" t="s">
        <v>630</v>
      </c>
      <c r="J193" s="70" t="s">
        <v>630</v>
      </c>
      <c r="K193" s="78" t="s">
        <v>3217</v>
      </c>
      <c r="L193" s="70" t="s">
        <v>3218</v>
      </c>
      <c r="M193" s="70" t="s">
        <v>631</v>
      </c>
      <c r="N193" s="70" t="s">
        <v>3219</v>
      </c>
      <c r="O193" s="70" t="s">
        <v>3220</v>
      </c>
      <c r="P193" s="70" t="s">
        <v>3221</v>
      </c>
      <c r="Q193" s="70" t="s">
        <v>3222</v>
      </c>
      <c r="R193" s="70" t="s">
        <v>3223</v>
      </c>
      <c r="S193" s="70" t="s">
        <v>3224</v>
      </c>
      <c r="T193" s="70" t="s">
        <v>3225</v>
      </c>
      <c r="U193" s="70" t="s">
        <v>3226</v>
      </c>
      <c r="V193" s="70" t="s">
        <v>3227</v>
      </c>
      <c r="W193" s="70" t="s">
        <v>3228</v>
      </c>
      <c r="X193" s="79" t="s">
        <v>2840</v>
      </c>
      <c r="Y193" s="80" t="s">
        <v>2555</v>
      </c>
      <c r="Z193" s="80" t="s">
        <v>3229</v>
      </c>
      <c r="AA193" s="70" t="s">
        <v>3230</v>
      </c>
      <c r="AB193" s="70" t="s">
        <v>3231</v>
      </c>
      <c r="AC193" s="80"/>
      <c r="AD193" s="70" t="s">
        <v>3453</v>
      </c>
    </row>
    <row r="194" spans="1:30" s="82" customFormat="1" ht="125.25" customHeight="1">
      <c r="A194" s="70">
        <f t="shared" si="2"/>
        <v>191</v>
      </c>
      <c r="B194" s="57" t="s">
        <v>3232</v>
      </c>
      <c r="C194" s="70" t="s">
        <v>3233</v>
      </c>
      <c r="D194" s="70" t="s">
        <v>3234</v>
      </c>
      <c r="E194" s="70">
        <v>2013</v>
      </c>
      <c r="F194" s="70" t="s">
        <v>8</v>
      </c>
      <c r="G194" s="70" t="s">
        <v>3235</v>
      </c>
      <c r="H194" s="70" t="s">
        <v>3236</v>
      </c>
      <c r="I194" s="70" t="s">
        <v>630</v>
      </c>
      <c r="J194" s="70" t="s">
        <v>630</v>
      </c>
      <c r="K194" s="78" t="s">
        <v>3237</v>
      </c>
      <c r="L194" s="70" t="s">
        <v>3238</v>
      </c>
      <c r="M194" s="70" t="s">
        <v>631</v>
      </c>
      <c r="N194" s="70" t="s">
        <v>3239</v>
      </c>
      <c r="O194" s="70" t="s">
        <v>3240</v>
      </c>
      <c r="P194" s="70" t="s">
        <v>3241</v>
      </c>
      <c r="Q194" s="70" t="s">
        <v>3242</v>
      </c>
      <c r="R194" s="70" t="s">
        <v>3111</v>
      </c>
      <c r="S194" s="70" t="s">
        <v>3243</v>
      </c>
      <c r="T194" s="70" t="s">
        <v>3244</v>
      </c>
      <c r="U194" s="70" t="s">
        <v>3245</v>
      </c>
      <c r="V194" s="70" t="s">
        <v>3246</v>
      </c>
      <c r="W194" s="70" t="s">
        <v>3247</v>
      </c>
      <c r="X194" s="79" t="s">
        <v>2840</v>
      </c>
      <c r="Y194" s="80" t="s">
        <v>3248</v>
      </c>
      <c r="Z194" s="80" t="s">
        <v>3249</v>
      </c>
      <c r="AA194" s="70" t="s">
        <v>3250</v>
      </c>
      <c r="AB194" s="70" t="s">
        <v>3251</v>
      </c>
      <c r="AC194" s="80"/>
      <c r="AD194" s="70" t="s">
        <v>3454</v>
      </c>
    </row>
    <row r="195" spans="1:30" s="82" customFormat="1" ht="125.25" customHeight="1">
      <c r="A195" s="70">
        <f t="shared" si="2"/>
        <v>192</v>
      </c>
      <c r="B195" s="57" t="s">
        <v>3253</v>
      </c>
      <c r="C195" s="70" t="s">
        <v>3254</v>
      </c>
      <c r="D195" s="70" t="s">
        <v>3255</v>
      </c>
      <c r="E195" s="70" t="s">
        <v>3256</v>
      </c>
      <c r="F195" s="70" t="s">
        <v>7</v>
      </c>
      <c r="G195" s="70" t="s">
        <v>3257</v>
      </c>
      <c r="H195" s="70" t="s">
        <v>2163</v>
      </c>
      <c r="I195" s="70" t="s">
        <v>3258</v>
      </c>
      <c r="J195" s="70" t="s">
        <v>3258</v>
      </c>
      <c r="K195" s="78" t="s">
        <v>3259</v>
      </c>
      <c r="L195" s="70" t="s">
        <v>3257</v>
      </c>
      <c r="M195" s="70" t="s">
        <v>631</v>
      </c>
      <c r="N195" s="70" t="s">
        <v>3260</v>
      </c>
      <c r="O195" s="70" t="s">
        <v>3261</v>
      </c>
      <c r="P195" s="70" t="s">
        <v>3262</v>
      </c>
      <c r="Q195" s="70" t="s">
        <v>3263</v>
      </c>
      <c r="R195" s="70" t="s">
        <v>3264</v>
      </c>
      <c r="S195" s="70" t="s">
        <v>3265</v>
      </c>
      <c r="T195" s="70" t="s">
        <v>3266</v>
      </c>
      <c r="U195" s="70" t="s">
        <v>3267</v>
      </c>
      <c r="V195" s="70" t="s">
        <v>3268</v>
      </c>
      <c r="W195" s="70" t="s">
        <v>3269</v>
      </c>
      <c r="X195" s="79" t="s">
        <v>2840</v>
      </c>
      <c r="Y195" s="80" t="s">
        <v>3270</v>
      </c>
      <c r="Z195" s="80" t="s">
        <v>3271</v>
      </c>
      <c r="AA195" s="70" t="s">
        <v>3272</v>
      </c>
      <c r="AB195" s="70" t="s">
        <v>2389</v>
      </c>
      <c r="AC195" s="80"/>
      <c r="AD195" s="70" t="s">
        <v>3455</v>
      </c>
    </row>
    <row r="196" spans="1:30" s="82" customFormat="1" ht="125.25" customHeight="1">
      <c r="A196" s="70">
        <f t="shared" si="2"/>
        <v>193</v>
      </c>
      <c r="B196" s="57" t="s">
        <v>3273</v>
      </c>
      <c r="C196" s="70"/>
      <c r="D196" s="70" t="s">
        <v>3274</v>
      </c>
      <c r="E196" s="70">
        <v>2009</v>
      </c>
      <c r="F196" s="70" t="s">
        <v>11</v>
      </c>
      <c r="G196" s="70" t="s">
        <v>2037</v>
      </c>
      <c r="H196" s="70" t="s">
        <v>2017</v>
      </c>
      <c r="I196" s="70" t="s">
        <v>630</v>
      </c>
      <c r="J196" s="70" t="s">
        <v>630</v>
      </c>
      <c r="K196" s="78" t="s">
        <v>3275</v>
      </c>
      <c r="L196" s="70" t="s">
        <v>2037</v>
      </c>
      <c r="M196" s="70" t="s">
        <v>631</v>
      </c>
      <c r="N196" s="70" t="s">
        <v>3276</v>
      </c>
      <c r="O196" s="70" t="s">
        <v>3277</v>
      </c>
      <c r="P196" s="70" t="s">
        <v>3278</v>
      </c>
      <c r="Q196" s="70" t="s">
        <v>3263</v>
      </c>
      <c r="R196" s="70" t="s">
        <v>3279</v>
      </c>
      <c r="S196" s="70" t="s">
        <v>3280</v>
      </c>
      <c r="T196" s="70" t="s">
        <v>3281</v>
      </c>
      <c r="U196" s="70" t="s">
        <v>3282</v>
      </c>
      <c r="V196" s="70" t="s">
        <v>3283</v>
      </c>
      <c r="W196" s="70" t="s">
        <v>3079</v>
      </c>
      <c r="X196" s="79" t="s">
        <v>2840</v>
      </c>
      <c r="Y196" s="80" t="s">
        <v>2555</v>
      </c>
      <c r="Z196" s="80" t="s">
        <v>3284</v>
      </c>
      <c r="AA196" s="70" t="s">
        <v>2388</v>
      </c>
      <c r="AB196" s="70" t="s">
        <v>2389</v>
      </c>
      <c r="AC196" s="80"/>
      <c r="AD196" s="70" t="s">
        <v>3456</v>
      </c>
    </row>
    <row r="197" spans="1:30" s="82" customFormat="1" ht="125.25" customHeight="1">
      <c r="A197" s="70">
        <f t="shared" si="2"/>
        <v>194</v>
      </c>
      <c r="B197" s="57" t="s">
        <v>3285</v>
      </c>
      <c r="C197" s="70" t="s">
        <v>3286</v>
      </c>
      <c r="D197" s="70"/>
      <c r="E197" s="70">
        <v>1992</v>
      </c>
      <c r="F197" s="70" t="s">
        <v>11</v>
      </c>
      <c r="G197" s="70" t="s">
        <v>1748</v>
      </c>
      <c r="H197" s="70" t="s">
        <v>3287</v>
      </c>
      <c r="I197" s="70" t="s">
        <v>630</v>
      </c>
      <c r="J197" s="70" t="s">
        <v>630</v>
      </c>
      <c r="K197" s="78" t="s">
        <v>3288</v>
      </c>
      <c r="L197" s="70" t="s">
        <v>3289</v>
      </c>
      <c r="M197" s="70" t="s">
        <v>631</v>
      </c>
      <c r="N197" s="70" t="s">
        <v>3290</v>
      </c>
      <c r="O197" s="70" t="s">
        <v>2426</v>
      </c>
      <c r="P197" s="70" t="s">
        <v>3291</v>
      </c>
      <c r="Q197" s="70" t="s">
        <v>3292</v>
      </c>
      <c r="R197" s="70" t="s">
        <v>3293</v>
      </c>
      <c r="S197" s="70" t="s">
        <v>3057</v>
      </c>
      <c r="T197" s="70" t="s">
        <v>3294</v>
      </c>
      <c r="U197" s="70" t="s">
        <v>3295</v>
      </c>
      <c r="V197" s="70" t="s">
        <v>3296</v>
      </c>
      <c r="W197" s="70" t="s">
        <v>3297</v>
      </c>
      <c r="X197" s="79" t="s">
        <v>3298</v>
      </c>
      <c r="Y197" s="80" t="s">
        <v>2555</v>
      </c>
      <c r="Z197" s="80" t="s">
        <v>3299</v>
      </c>
      <c r="AA197" s="70" t="s">
        <v>2842</v>
      </c>
      <c r="AB197" s="70" t="s">
        <v>3300</v>
      </c>
      <c r="AC197" s="80"/>
      <c r="AD197" s="70" t="s">
        <v>3457</v>
      </c>
    </row>
    <row r="198" spans="1:30" s="82" customFormat="1" ht="125.25" customHeight="1">
      <c r="A198" s="70">
        <f t="shared" ref="A198:A261" si="3">ROW()-3</f>
        <v>195</v>
      </c>
      <c r="B198" s="57" t="s">
        <v>3301</v>
      </c>
      <c r="C198" s="70" t="s">
        <v>3302</v>
      </c>
      <c r="D198" s="70"/>
      <c r="E198" s="70" t="s">
        <v>3314</v>
      </c>
      <c r="F198" s="70" t="s">
        <v>7</v>
      </c>
      <c r="G198" s="70" t="s">
        <v>2891</v>
      </c>
      <c r="H198" s="70" t="s">
        <v>2192</v>
      </c>
      <c r="I198" s="70" t="s">
        <v>630</v>
      </c>
      <c r="J198" s="70" t="s">
        <v>630</v>
      </c>
      <c r="K198" s="78" t="s">
        <v>3303</v>
      </c>
      <c r="L198" s="70" t="s">
        <v>2891</v>
      </c>
      <c r="M198" s="70" t="s">
        <v>631</v>
      </c>
      <c r="N198" s="70" t="s">
        <v>3304</v>
      </c>
      <c r="O198" s="70" t="s">
        <v>3305</v>
      </c>
      <c r="P198" s="70" t="s">
        <v>3306</v>
      </c>
      <c r="Q198" s="70" t="s">
        <v>3307</v>
      </c>
      <c r="R198" s="70" t="s">
        <v>3308</v>
      </c>
      <c r="S198" s="70" t="s">
        <v>3309</v>
      </c>
      <c r="T198" s="70" t="s">
        <v>3310</v>
      </c>
      <c r="U198" s="70" t="s">
        <v>597</v>
      </c>
      <c r="V198" s="70" t="s">
        <v>3311</v>
      </c>
      <c r="W198" s="70" t="s">
        <v>3312</v>
      </c>
      <c r="X198" s="79" t="s">
        <v>2840</v>
      </c>
      <c r="Y198" s="80" t="s">
        <v>2555</v>
      </c>
      <c r="Z198" s="80" t="s">
        <v>3313</v>
      </c>
      <c r="AA198" s="70" t="s">
        <v>2388</v>
      </c>
      <c r="AB198" s="70" t="s">
        <v>3252</v>
      </c>
      <c r="AC198" s="80"/>
      <c r="AD198" s="70" t="s">
        <v>3458</v>
      </c>
    </row>
    <row r="199" spans="1:30" s="82" customFormat="1" ht="125.25" customHeight="1">
      <c r="A199" s="70">
        <f t="shared" si="3"/>
        <v>196</v>
      </c>
      <c r="B199" s="57" t="s">
        <v>3315</v>
      </c>
      <c r="C199" s="70" t="s">
        <v>3316</v>
      </c>
      <c r="D199" s="70"/>
      <c r="E199" s="70">
        <v>2007</v>
      </c>
      <c r="F199" s="70" t="s">
        <v>11</v>
      </c>
      <c r="G199" s="70" t="s">
        <v>3317</v>
      </c>
      <c r="H199" s="70" t="s">
        <v>1108</v>
      </c>
      <c r="I199" s="70" t="s">
        <v>630</v>
      </c>
      <c r="J199" s="70" t="s">
        <v>630</v>
      </c>
      <c r="K199" s="78" t="s">
        <v>3318</v>
      </c>
      <c r="L199" s="70" t="s">
        <v>3319</v>
      </c>
      <c r="M199" s="70" t="s">
        <v>631</v>
      </c>
      <c r="N199" s="70" t="s">
        <v>3320</v>
      </c>
      <c r="O199" s="70" t="s">
        <v>3321</v>
      </c>
      <c r="P199" s="70" t="s">
        <v>3322</v>
      </c>
      <c r="Q199" s="70" t="s">
        <v>3323</v>
      </c>
      <c r="R199" s="70" t="s">
        <v>3324</v>
      </c>
      <c r="S199" s="70" t="s">
        <v>3325</v>
      </c>
      <c r="T199" s="70" t="s">
        <v>3326</v>
      </c>
      <c r="U199" s="70" t="s">
        <v>3327</v>
      </c>
      <c r="V199" s="70" t="s">
        <v>3328</v>
      </c>
      <c r="W199" s="70" t="s">
        <v>3329</v>
      </c>
      <c r="X199" s="79" t="s">
        <v>3330</v>
      </c>
      <c r="Y199" s="80" t="s">
        <v>2555</v>
      </c>
      <c r="Z199" s="80" t="s">
        <v>3331</v>
      </c>
      <c r="AA199" s="70" t="s">
        <v>2388</v>
      </c>
      <c r="AB199" s="70" t="s">
        <v>3332</v>
      </c>
      <c r="AC199" s="80"/>
      <c r="AD199" s="70" t="s">
        <v>3459</v>
      </c>
    </row>
    <row r="200" spans="1:30" s="82" customFormat="1" ht="125.25" customHeight="1">
      <c r="A200" s="70">
        <f t="shared" si="3"/>
        <v>197</v>
      </c>
      <c r="B200" s="57" t="s">
        <v>3333</v>
      </c>
      <c r="C200" s="70" t="s">
        <v>3333</v>
      </c>
      <c r="D200" s="70"/>
      <c r="E200" s="70">
        <v>2020</v>
      </c>
      <c r="F200" s="70" t="s">
        <v>11</v>
      </c>
      <c r="G200" s="70" t="s">
        <v>3334</v>
      </c>
      <c r="H200" s="70" t="s">
        <v>3185</v>
      </c>
      <c r="I200" s="70" t="s">
        <v>630</v>
      </c>
      <c r="J200" s="70" t="s">
        <v>630</v>
      </c>
      <c r="K200" s="78" t="s">
        <v>3335</v>
      </c>
      <c r="L200" s="70" t="s">
        <v>2985</v>
      </c>
      <c r="M200" s="70" t="s">
        <v>631</v>
      </c>
      <c r="N200" s="70" t="s">
        <v>3336</v>
      </c>
      <c r="O200" s="70" t="s">
        <v>3337</v>
      </c>
      <c r="P200" s="70" t="s">
        <v>3338</v>
      </c>
      <c r="Q200" s="70" t="s">
        <v>3307</v>
      </c>
      <c r="R200" s="70" t="s">
        <v>3024</v>
      </c>
      <c r="S200" s="70" t="s">
        <v>3309</v>
      </c>
      <c r="T200" s="70" t="s">
        <v>3326</v>
      </c>
      <c r="U200" s="70" t="s">
        <v>3327</v>
      </c>
      <c r="V200" s="70" t="s">
        <v>3328</v>
      </c>
      <c r="W200" s="70" t="s">
        <v>3339</v>
      </c>
      <c r="X200" s="79" t="s">
        <v>2840</v>
      </c>
      <c r="Y200" s="80" t="s">
        <v>2555</v>
      </c>
      <c r="Z200" s="80" t="s">
        <v>3340</v>
      </c>
      <c r="AA200" s="70" t="s">
        <v>2388</v>
      </c>
      <c r="AB200" s="70" t="s">
        <v>3252</v>
      </c>
      <c r="AC200" s="80"/>
      <c r="AD200" s="70" t="s">
        <v>3460</v>
      </c>
    </row>
    <row r="201" spans="1:30" s="82" customFormat="1" ht="125.25" customHeight="1">
      <c r="A201" s="70">
        <f t="shared" si="3"/>
        <v>198</v>
      </c>
      <c r="B201" s="57" t="s">
        <v>3352</v>
      </c>
      <c r="C201" s="70" t="s">
        <v>3341</v>
      </c>
      <c r="D201" s="70"/>
      <c r="E201" s="70">
        <v>2011</v>
      </c>
      <c r="F201" s="70" t="s">
        <v>10</v>
      </c>
      <c r="G201" s="70" t="s">
        <v>2447</v>
      </c>
      <c r="H201" s="70" t="s">
        <v>3185</v>
      </c>
      <c r="I201" s="70" t="s">
        <v>630</v>
      </c>
      <c r="J201" s="70" t="s">
        <v>630</v>
      </c>
      <c r="K201" s="78" t="s">
        <v>3342</v>
      </c>
      <c r="L201" s="70" t="s">
        <v>2447</v>
      </c>
      <c r="M201" s="70" t="s">
        <v>631</v>
      </c>
      <c r="N201" s="70" t="s">
        <v>3168</v>
      </c>
      <c r="O201" s="70" t="s">
        <v>3343</v>
      </c>
      <c r="P201" s="70" t="s">
        <v>3344</v>
      </c>
      <c r="Q201" s="70" t="s">
        <v>3345</v>
      </c>
      <c r="R201" s="70" t="s">
        <v>3346</v>
      </c>
      <c r="S201" s="70" t="s">
        <v>3347</v>
      </c>
      <c r="T201" s="70" t="s">
        <v>3348</v>
      </c>
      <c r="U201" s="70" t="s">
        <v>380</v>
      </c>
      <c r="V201" s="70" t="s">
        <v>3349</v>
      </c>
      <c r="W201" s="70" t="s">
        <v>3350</v>
      </c>
      <c r="X201" s="79" t="s">
        <v>2840</v>
      </c>
      <c r="Y201" s="80" t="s">
        <v>2555</v>
      </c>
      <c r="Z201" s="80" t="s">
        <v>3351</v>
      </c>
      <c r="AA201" s="70" t="s">
        <v>2388</v>
      </c>
      <c r="AB201" s="70" t="s">
        <v>3252</v>
      </c>
      <c r="AC201" s="80"/>
      <c r="AD201" s="70" t="s">
        <v>3461</v>
      </c>
    </row>
    <row r="202" spans="1:30" s="82" customFormat="1" ht="125.25" customHeight="1">
      <c r="A202" s="70">
        <f t="shared" si="3"/>
        <v>199</v>
      </c>
      <c r="B202" s="57" t="s">
        <v>3363</v>
      </c>
      <c r="C202" s="70" t="s">
        <v>3353</v>
      </c>
      <c r="D202" s="70" t="s">
        <v>3354</v>
      </c>
      <c r="E202" s="70">
        <v>1999</v>
      </c>
      <c r="F202" s="70" t="s">
        <v>10</v>
      </c>
      <c r="G202" s="70" t="s">
        <v>2447</v>
      </c>
      <c r="H202" s="70" t="s">
        <v>3364</v>
      </c>
      <c r="I202" s="70" t="s">
        <v>630</v>
      </c>
      <c r="J202" s="70" t="s">
        <v>630</v>
      </c>
      <c r="K202" s="78" t="s">
        <v>3355</v>
      </c>
      <c r="L202" s="70" t="s">
        <v>2447</v>
      </c>
      <c r="M202" s="70" t="s">
        <v>631</v>
      </c>
      <c r="N202" s="70" t="s">
        <v>2986</v>
      </c>
      <c r="O202" s="70" t="s">
        <v>634</v>
      </c>
      <c r="P202" s="70" t="s">
        <v>3356</v>
      </c>
      <c r="Q202" s="70" t="s">
        <v>3024</v>
      </c>
      <c r="R202" s="70" t="s">
        <v>3357</v>
      </c>
      <c r="S202" s="70" t="s">
        <v>3358</v>
      </c>
      <c r="T202" s="70" t="s">
        <v>3359</v>
      </c>
      <c r="U202" s="70" t="s">
        <v>380</v>
      </c>
      <c r="V202" s="70" t="s">
        <v>3360</v>
      </c>
      <c r="W202" s="70" t="s">
        <v>3079</v>
      </c>
      <c r="X202" s="79" t="s">
        <v>2840</v>
      </c>
      <c r="Y202" s="80" t="s">
        <v>2555</v>
      </c>
      <c r="Z202" s="80" t="s">
        <v>3361</v>
      </c>
      <c r="AA202" s="70" t="s">
        <v>2388</v>
      </c>
      <c r="AB202" s="70" t="s">
        <v>3362</v>
      </c>
      <c r="AC202" s="80"/>
      <c r="AD202" s="70" t="s">
        <v>3462</v>
      </c>
    </row>
    <row r="203" spans="1:30" s="82" customFormat="1" ht="125.25" customHeight="1">
      <c r="A203" s="70">
        <f t="shared" si="3"/>
        <v>200</v>
      </c>
      <c r="B203" s="57" t="s">
        <v>3365</v>
      </c>
      <c r="C203" s="70" t="s">
        <v>3366</v>
      </c>
      <c r="D203" s="70"/>
      <c r="E203" s="70">
        <v>2022</v>
      </c>
      <c r="F203" s="70" t="s">
        <v>3102</v>
      </c>
      <c r="G203" s="70" t="s">
        <v>3367</v>
      </c>
      <c r="H203" s="70" t="s">
        <v>3368</v>
      </c>
      <c r="I203" s="70" t="s">
        <v>630</v>
      </c>
      <c r="J203" s="70" t="s">
        <v>630</v>
      </c>
      <c r="K203" s="78" t="s">
        <v>3369</v>
      </c>
      <c r="L203" s="70" t="s">
        <v>3367</v>
      </c>
      <c r="M203" s="70" t="s">
        <v>631</v>
      </c>
      <c r="N203" s="70" t="s">
        <v>3370</v>
      </c>
      <c r="O203" s="70" t="s">
        <v>3371</v>
      </c>
      <c r="P203" s="70" t="s">
        <v>3372</v>
      </c>
      <c r="Q203" s="70" t="s">
        <v>3373</v>
      </c>
      <c r="R203" s="70" t="s">
        <v>3374</v>
      </c>
      <c r="S203" s="70" t="s">
        <v>2974</v>
      </c>
      <c r="T203" s="70" t="s">
        <v>3375</v>
      </c>
      <c r="U203" s="70" t="s">
        <v>3376</v>
      </c>
      <c r="V203" s="70" t="s">
        <v>3377</v>
      </c>
      <c r="W203" s="70" t="s">
        <v>3378</v>
      </c>
      <c r="X203" s="79" t="s">
        <v>2840</v>
      </c>
      <c r="Y203" s="80" t="s">
        <v>2555</v>
      </c>
      <c r="Z203" s="80" t="s">
        <v>3379</v>
      </c>
      <c r="AA203" s="70" t="s">
        <v>2388</v>
      </c>
      <c r="AB203" s="70" t="s">
        <v>3332</v>
      </c>
      <c r="AC203" s="80"/>
      <c r="AD203" s="70" t="s">
        <v>3463</v>
      </c>
    </row>
    <row r="204" spans="1:30" s="82" customFormat="1" ht="125.25" customHeight="1">
      <c r="A204" s="70">
        <f t="shared" si="3"/>
        <v>201</v>
      </c>
      <c r="B204" s="57" t="s">
        <v>3380</v>
      </c>
      <c r="C204" s="70" t="s">
        <v>3381</v>
      </c>
      <c r="D204" s="70" t="s">
        <v>3382</v>
      </c>
      <c r="E204" s="70">
        <v>1993</v>
      </c>
      <c r="F204" s="70" t="s">
        <v>7</v>
      </c>
      <c r="G204" s="70" t="s">
        <v>3257</v>
      </c>
      <c r="H204" s="70" t="s">
        <v>2163</v>
      </c>
      <c r="I204" s="70" t="s">
        <v>630</v>
      </c>
      <c r="J204" s="70" t="s">
        <v>630</v>
      </c>
      <c r="K204" s="78" t="s">
        <v>3383</v>
      </c>
      <c r="L204" s="70" t="s">
        <v>3384</v>
      </c>
      <c r="M204" s="70" t="s">
        <v>631</v>
      </c>
      <c r="N204" s="70" t="s">
        <v>3320</v>
      </c>
      <c r="O204" s="70" t="s">
        <v>3385</v>
      </c>
      <c r="P204" s="70" t="s">
        <v>3386</v>
      </c>
      <c r="Q204" s="70" t="s">
        <v>3292</v>
      </c>
      <c r="R204" s="70" t="s">
        <v>3387</v>
      </c>
      <c r="S204" s="70" t="s">
        <v>3388</v>
      </c>
      <c r="T204" s="70" t="s">
        <v>3389</v>
      </c>
      <c r="U204" s="70" t="s">
        <v>3390</v>
      </c>
      <c r="V204" s="70" t="s">
        <v>3391</v>
      </c>
      <c r="W204" s="70" t="s">
        <v>3392</v>
      </c>
      <c r="X204" s="79" t="s">
        <v>3393</v>
      </c>
      <c r="Y204" s="80" t="s">
        <v>2555</v>
      </c>
      <c r="Z204" s="80" t="s">
        <v>3394</v>
      </c>
      <c r="AA204" s="70" t="s">
        <v>2388</v>
      </c>
      <c r="AB204" s="70" t="s">
        <v>3395</v>
      </c>
      <c r="AC204" s="80"/>
      <c r="AD204" s="70" t="s">
        <v>3464</v>
      </c>
    </row>
    <row r="205" spans="1:30" s="82" customFormat="1" ht="125.25" customHeight="1">
      <c r="A205" s="70">
        <f t="shared" si="3"/>
        <v>202</v>
      </c>
      <c r="B205" s="57" t="s">
        <v>3405</v>
      </c>
      <c r="C205" s="70" t="s">
        <v>3396</v>
      </c>
      <c r="D205" s="70"/>
      <c r="E205" s="70">
        <v>1991</v>
      </c>
      <c r="F205" s="70" t="s">
        <v>7</v>
      </c>
      <c r="G205" s="70" t="s">
        <v>3257</v>
      </c>
      <c r="H205" s="70" t="s">
        <v>2163</v>
      </c>
      <c r="I205" s="70" t="s">
        <v>630</v>
      </c>
      <c r="J205" s="70" t="s">
        <v>630</v>
      </c>
      <c r="K205" s="78" t="s">
        <v>3397</v>
      </c>
      <c r="L205" s="70" t="s">
        <v>3257</v>
      </c>
      <c r="M205" s="70" t="s">
        <v>631</v>
      </c>
      <c r="N205" s="70" t="s">
        <v>3320</v>
      </c>
      <c r="O205" s="70" t="s">
        <v>2080</v>
      </c>
      <c r="P205" s="70" t="s">
        <v>3398</v>
      </c>
      <c r="Q205" s="70" t="s">
        <v>2974</v>
      </c>
      <c r="R205" s="70" t="s">
        <v>3399</v>
      </c>
      <c r="S205" s="70" t="s">
        <v>3400</v>
      </c>
      <c r="T205" s="70" t="s">
        <v>3401</v>
      </c>
      <c r="U205" s="70" t="s">
        <v>3061</v>
      </c>
      <c r="V205" s="70" t="s">
        <v>3402</v>
      </c>
      <c r="W205" s="70" t="s">
        <v>3079</v>
      </c>
      <c r="X205" s="79" t="s">
        <v>2840</v>
      </c>
      <c r="Y205" s="78" t="s">
        <v>3406</v>
      </c>
      <c r="Z205" s="80" t="s">
        <v>3403</v>
      </c>
      <c r="AA205" s="70" t="s">
        <v>2388</v>
      </c>
      <c r="AB205" s="70" t="s">
        <v>3404</v>
      </c>
      <c r="AC205" s="80"/>
      <c r="AD205" s="70" t="s">
        <v>3465</v>
      </c>
    </row>
    <row r="206" spans="1:30" s="82" customFormat="1" ht="125.25" customHeight="1">
      <c r="A206" s="70">
        <f t="shared" si="3"/>
        <v>203</v>
      </c>
      <c r="B206" s="57" t="s">
        <v>3407</v>
      </c>
      <c r="C206" s="70" t="s">
        <v>3408</v>
      </c>
      <c r="D206" s="70" t="s">
        <v>3409</v>
      </c>
      <c r="E206" s="70">
        <v>1974</v>
      </c>
      <c r="F206" s="70" t="s">
        <v>7</v>
      </c>
      <c r="G206" s="70" t="s">
        <v>3257</v>
      </c>
      <c r="H206" s="70" t="s">
        <v>2163</v>
      </c>
      <c r="I206" s="70" t="s">
        <v>630</v>
      </c>
      <c r="J206" s="70" t="s">
        <v>630</v>
      </c>
      <c r="K206" s="78" t="s">
        <v>3410</v>
      </c>
      <c r="L206" s="70" t="s">
        <v>3257</v>
      </c>
      <c r="M206" s="70" t="s">
        <v>631</v>
      </c>
      <c r="N206" s="70" t="s">
        <v>2986</v>
      </c>
      <c r="O206" s="70" t="s">
        <v>3411</v>
      </c>
      <c r="P206" s="70" t="s">
        <v>3160</v>
      </c>
      <c r="Q206" s="70" t="s">
        <v>3412</v>
      </c>
      <c r="R206" s="70" t="s">
        <v>3130</v>
      </c>
      <c r="S206" s="70" t="s">
        <v>3373</v>
      </c>
      <c r="T206" s="70" t="s">
        <v>3413</v>
      </c>
      <c r="U206" s="70" t="s">
        <v>380</v>
      </c>
      <c r="V206" s="70" t="s">
        <v>3414</v>
      </c>
      <c r="W206" s="70" t="s">
        <v>3415</v>
      </c>
      <c r="X206" s="79" t="s">
        <v>3416</v>
      </c>
      <c r="Y206" s="80" t="s">
        <v>2555</v>
      </c>
      <c r="Z206" s="80" t="s">
        <v>3417</v>
      </c>
      <c r="AA206" s="70" t="s">
        <v>2388</v>
      </c>
      <c r="AB206" s="70" t="s">
        <v>3418</v>
      </c>
      <c r="AC206" s="80"/>
      <c r="AD206" s="70" t="s">
        <v>3466</v>
      </c>
    </row>
    <row r="207" spans="1:30" s="82" customFormat="1" ht="125.25" customHeight="1">
      <c r="A207" s="70">
        <f t="shared" si="3"/>
        <v>204</v>
      </c>
      <c r="B207" s="57" t="s">
        <v>3419</v>
      </c>
      <c r="C207" s="70" t="s">
        <v>3420</v>
      </c>
      <c r="D207" s="70" t="s">
        <v>3421</v>
      </c>
      <c r="E207" s="70">
        <v>1988</v>
      </c>
      <c r="F207" s="70" t="s">
        <v>7</v>
      </c>
      <c r="G207" s="70" t="s">
        <v>3257</v>
      </c>
      <c r="H207" s="70" t="s">
        <v>3422</v>
      </c>
      <c r="I207" s="70" t="s">
        <v>630</v>
      </c>
      <c r="J207" s="70" t="s">
        <v>630</v>
      </c>
      <c r="K207" s="78" t="s">
        <v>3423</v>
      </c>
      <c r="L207" s="70" t="s">
        <v>3257</v>
      </c>
      <c r="M207" s="70" t="s">
        <v>631</v>
      </c>
      <c r="N207" s="70" t="s">
        <v>3424</v>
      </c>
      <c r="O207" s="70" t="s">
        <v>3425</v>
      </c>
      <c r="P207" s="70" t="s">
        <v>3426</v>
      </c>
      <c r="Q207" s="70" t="s">
        <v>3130</v>
      </c>
      <c r="R207" s="70" t="s">
        <v>3427</v>
      </c>
      <c r="S207" s="70" t="s">
        <v>3428</v>
      </c>
      <c r="T207" s="70" t="s">
        <v>3429</v>
      </c>
      <c r="U207" s="70" t="s">
        <v>3430</v>
      </c>
      <c r="V207" s="70" t="s">
        <v>3431</v>
      </c>
      <c r="W207" s="70" t="s">
        <v>3432</v>
      </c>
      <c r="X207" s="79" t="s">
        <v>3433</v>
      </c>
      <c r="Y207" s="80" t="s">
        <v>2555</v>
      </c>
      <c r="Z207" s="80" t="s">
        <v>3434</v>
      </c>
      <c r="AA207" s="70" t="s">
        <v>2388</v>
      </c>
      <c r="AB207" s="70" t="s">
        <v>3418</v>
      </c>
      <c r="AC207" s="80"/>
      <c r="AD207" s="70" t="s">
        <v>3467</v>
      </c>
    </row>
    <row r="208" spans="1:30" s="82" customFormat="1" ht="125.25" customHeight="1">
      <c r="A208" s="70">
        <f t="shared" si="3"/>
        <v>205</v>
      </c>
      <c r="B208" s="57"/>
      <c r="C208" s="70"/>
      <c r="D208" s="70"/>
      <c r="E208" s="70"/>
      <c r="F208" s="70"/>
      <c r="G208" s="70"/>
      <c r="H208" s="70"/>
      <c r="I208" s="70"/>
      <c r="J208" s="70"/>
      <c r="K208" s="78"/>
      <c r="L208" s="70"/>
      <c r="M208" s="70"/>
      <c r="N208" s="70"/>
      <c r="O208" s="70"/>
      <c r="P208" s="70"/>
      <c r="Q208" s="70"/>
      <c r="R208" s="70"/>
      <c r="S208" s="70"/>
      <c r="T208" s="70"/>
      <c r="U208" s="70"/>
      <c r="V208" s="70"/>
      <c r="W208" s="70"/>
      <c r="X208" s="79"/>
      <c r="Y208" s="80"/>
      <c r="Z208" s="80"/>
      <c r="AA208" s="70"/>
      <c r="AB208" s="70"/>
      <c r="AC208" s="80"/>
      <c r="AD208" s="70"/>
    </row>
    <row r="209" spans="1:30" s="82" customFormat="1" ht="125.25" customHeight="1">
      <c r="A209" s="70">
        <f t="shared" si="3"/>
        <v>206</v>
      </c>
      <c r="B209" s="57"/>
      <c r="C209" s="70"/>
      <c r="D209" s="70"/>
      <c r="E209" s="70"/>
      <c r="F209" s="70"/>
      <c r="G209" s="70"/>
      <c r="H209" s="70"/>
      <c r="I209" s="70"/>
      <c r="J209" s="70"/>
      <c r="K209" s="78"/>
      <c r="L209" s="70"/>
      <c r="M209" s="70"/>
      <c r="N209" s="70"/>
      <c r="O209" s="70"/>
      <c r="P209" s="70"/>
      <c r="Q209" s="70"/>
      <c r="R209" s="70"/>
      <c r="S209" s="70"/>
      <c r="T209" s="70"/>
      <c r="U209" s="70"/>
      <c r="V209" s="70"/>
      <c r="W209" s="70"/>
      <c r="X209" s="79"/>
      <c r="Y209" s="80"/>
      <c r="Z209" s="80"/>
      <c r="AA209" s="70"/>
      <c r="AB209" s="70"/>
      <c r="AC209" s="80"/>
      <c r="AD209" s="70"/>
    </row>
    <row r="210" spans="1:30" s="82" customFormat="1" ht="125.25" customHeight="1">
      <c r="A210" s="70">
        <f t="shared" si="3"/>
        <v>207</v>
      </c>
      <c r="B210" s="57"/>
      <c r="C210" s="70"/>
      <c r="D210" s="70"/>
      <c r="E210" s="70"/>
      <c r="F210" s="70"/>
      <c r="G210" s="70"/>
      <c r="H210" s="70"/>
      <c r="I210" s="70"/>
      <c r="J210" s="70"/>
      <c r="K210" s="78"/>
      <c r="L210" s="70"/>
      <c r="M210" s="70"/>
      <c r="N210" s="70"/>
      <c r="O210" s="70"/>
      <c r="P210" s="70"/>
      <c r="Q210" s="70"/>
      <c r="R210" s="70"/>
      <c r="S210" s="70"/>
      <c r="T210" s="70"/>
      <c r="U210" s="70"/>
      <c r="V210" s="70"/>
      <c r="W210" s="70"/>
      <c r="X210" s="79"/>
      <c r="Y210" s="80"/>
      <c r="Z210" s="80"/>
      <c r="AA210" s="70"/>
      <c r="AB210" s="70"/>
      <c r="AC210" s="80"/>
      <c r="AD210" s="70"/>
    </row>
    <row r="211" spans="1:30" s="82" customFormat="1" ht="125.25" customHeight="1">
      <c r="A211" s="70">
        <f t="shared" si="3"/>
        <v>208</v>
      </c>
      <c r="B211" s="57"/>
      <c r="C211" s="70"/>
      <c r="D211" s="70"/>
      <c r="E211" s="70"/>
      <c r="F211" s="70"/>
      <c r="G211" s="70"/>
      <c r="H211" s="70"/>
      <c r="I211" s="70"/>
      <c r="J211" s="70"/>
      <c r="K211" s="78"/>
      <c r="L211" s="70"/>
      <c r="M211" s="70"/>
      <c r="N211" s="70"/>
      <c r="O211" s="70"/>
      <c r="P211" s="70"/>
      <c r="Q211" s="70"/>
      <c r="R211" s="70"/>
      <c r="S211" s="70"/>
      <c r="T211" s="70"/>
      <c r="U211" s="70"/>
      <c r="V211" s="70"/>
      <c r="W211" s="70"/>
      <c r="X211" s="79"/>
      <c r="Y211" s="80"/>
      <c r="Z211" s="80"/>
      <c r="AA211" s="70"/>
      <c r="AB211" s="70"/>
      <c r="AC211" s="80"/>
      <c r="AD211" s="70"/>
    </row>
    <row r="212" spans="1:30" s="82" customFormat="1" ht="125.25" customHeight="1">
      <c r="A212" s="70">
        <f t="shared" si="3"/>
        <v>209</v>
      </c>
      <c r="B212" s="57"/>
      <c r="C212" s="70"/>
      <c r="D212" s="70"/>
      <c r="E212" s="70"/>
      <c r="F212" s="70"/>
      <c r="G212" s="70"/>
      <c r="H212" s="70"/>
      <c r="I212" s="70"/>
      <c r="J212" s="70"/>
      <c r="K212" s="78"/>
      <c r="L212" s="70"/>
      <c r="M212" s="70"/>
      <c r="N212" s="70"/>
      <c r="O212" s="70"/>
      <c r="P212" s="70"/>
      <c r="Q212" s="70"/>
      <c r="R212" s="70"/>
      <c r="S212" s="70"/>
      <c r="T212" s="70"/>
      <c r="U212" s="70"/>
      <c r="V212" s="70"/>
      <c r="W212" s="70"/>
      <c r="X212" s="79"/>
      <c r="Y212" s="80"/>
      <c r="Z212" s="80"/>
      <c r="AA212" s="70"/>
      <c r="AB212" s="70"/>
      <c r="AC212" s="80"/>
      <c r="AD212" s="70"/>
    </row>
    <row r="213" spans="1:30" s="82" customFormat="1" ht="125.25" customHeight="1">
      <c r="A213" s="70">
        <f t="shared" si="3"/>
        <v>210</v>
      </c>
      <c r="B213" s="57"/>
      <c r="C213" s="70"/>
      <c r="D213" s="70"/>
      <c r="E213" s="70"/>
      <c r="F213" s="70"/>
      <c r="G213" s="70"/>
      <c r="H213" s="70"/>
      <c r="I213" s="70"/>
      <c r="J213" s="70"/>
      <c r="K213" s="78"/>
      <c r="L213" s="70"/>
      <c r="M213" s="70"/>
      <c r="N213" s="70"/>
      <c r="O213" s="70"/>
      <c r="P213" s="70"/>
      <c r="Q213" s="70"/>
      <c r="R213" s="70"/>
      <c r="S213" s="70"/>
      <c r="T213" s="70"/>
      <c r="U213" s="70"/>
      <c r="V213" s="70"/>
      <c r="W213" s="70"/>
      <c r="X213" s="79"/>
      <c r="Y213" s="80"/>
      <c r="Z213" s="80"/>
      <c r="AA213" s="70"/>
      <c r="AB213" s="70"/>
      <c r="AC213" s="80"/>
      <c r="AD213" s="70"/>
    </row>
    <row r="214" spans="1:30" s="82" customFormat="1" ht="125.25" customHeight="1">
      <c r="A214" s="70">
        <f t="shared" si="3"/>
        <v>211</v>
      </c>
      <c r="B214" s="57"/>
      <c r="C214" s="70"/>
      <c r="D214" s="70"/>
      <c r="E214" s="70"/>
      <c r="F214" s="70"/>
      <c r="G214" s="70"/>
      <c r="H214" s="70"/>
      <c r="I214" s="70"/>
      <c r="J214" s="70"/>
      <c r="K214" s="78"/>
      <c r="L214" s="70"/>
      <c r="M214" s="70"/>
      <c r="N214" s="70"/>
      <c r="O214" s="70"/>
      <c r="P214" s="70"/>
      <c r="Q214" s="70"/>
      <c r="R214" s="70"/>
      <c r="S214" s="70"/>
      <c r="T214" s="70"/>
      <c r="U214" s="70"/>
      <c r="V214" s="70"/>
      <c r="W214" s="70"/>
      <c r="X214" s="79"/>
      <c r="Y214" s="80"/>
      <c r="Z214" s="80"/>
      <c r="AA214" s="70"/>
      <c r="AB214" s="70"/>
      <c r="AC214" s="80"/>
      <c r="AD214" s="70"/>
    </row>
    <row r="215" spans="1:30" s="82" customFormat="1" ht="125.25" customHeight="1">
      <c r="A215" s="70">
        <f t="shared" si="3"/>
        <v>212</v>
      </c>
      <c r="B215" s="57"/>
      <c r="C215" s="70"/>
      <c r="D215" s="70"/>
      <c r="E215" s="70"/>
      <c r="F215" s="70"/>
      <c r="G215" s="70"/>
      <c r="H215" s="70"/>
      <c r="I215" s="70"/>
      <c r="J215" s="70"/>
      <c r="K215" s="78"/>
      <c r="L215" s="70"/>
      <c r="M215" s="70"/>
      <c r="N215" s="70"/>
      <c r="O215" s="70"/>
      <c r="P215" s="70"/>
      <c r="Q215" s="70"/>
      <c r="R215" s="70"/>
      <c r="S215" s="70"/>
      <c r="T215" s="70"/>
      <c r="U215" s="70"/>
      <c r="V215" s="70"/>
      <c r="W215" s="70"/>
      <c r="X215" s="79"/>
      <c r="Y215" s="80"/>
      <c r="Z215" s="80"/>
      <c r="AA215" s="70"/>
      <c r="AB215" s="70"/>
      <c r="AC215" s="80"/>
      <c r="AD215" s="70"/>
    </row>
    <row r="216" spans="1:30" s="82" customFormat="1" ht="125.25" customHeight="1">
      <c r="A216" s="70">
        <f t="shared" si="3"/>
        <v>213</v>
      </c>
      <c r="B216" s="57"/>
      <c r="C216" s="70"/>
      <c r="D216" s="70"/>
      <c r="E216" s="70"/>
      <c r="F216" s="70"/>
      <c r="G216" s="70"/>
      <c r="H216" s="70"/>
      <c r="I216" s="70"/>
      <c r="J216" s="70"/>
      <c r="K216" s="78"/>
      <c r="L216" s="70"/>
      <c r="M216" s="70"/>
      <c r="N216" s="70"/>
      <c r="O216" s="70"/>
      <c r="P216" s="70"/>
      <c r="Q216" s="70"/>
      <c r="R216" s="70"/>
      <c r="S216" s="70"/>
      <c r="T216" s="70"/>
      <c r="U216" s="70"/>
      <c r="V216" s="70"/>
      <c r="W216" s="70"/>
      <c r="X216" s="79"/>
      <c r="Y216" s="80"/>
      <c r="Z216" s="80"/>
      <c r="AA216" s="70"/>
      <c r="AB216" s="70"/>
      <c r="AC216" s="80"/>
      <c r="AD216" s="70"/>
    </row>
    <row r="217" spans="1:30" s="82" customFormat="1" ht="125.25" customHeight="1">
      <c r="A217" s="70">
        <f t="shared" si="3"/>
        <v>214</v>
      </c>
      <c r="B217" s="57"/>
      <c r="C217" s="70"/>
      <c r="D217" s="70"/>
      <c r="E217" s="70"/>
      <c r="F217" s="70"/>
      <c r="G217" s="70"/>
      <c r="H217" s="70"/>
      <c r="I217" s="70"/>
      <c r="J217" s="70"/>
      <c r="K217" s="78"/>
      <c r="L217" s="70"/>
      <c r="M217" s="70"/>
      <c r="N217" s="70"/>
      <c r="O217" s="70"/>
      <c r="P217" s="70"/>
      <c r="Q217" s="70"/>
      <c r="R217" s="70"/>
      <c r="S217" s="70"/>
      <c r="T217" s="70"/>
      <c r="U217" s="70"/>
      <c r="V217" s="70"/>
      <c r="W217" s="70"/>
      <c r="X217" s="79"/>
      <c r="Y217" s="80"/>
      <c r="Z217" s="80"/>
      <c r="AA217" s="70"/>
      <c r="AB217" s="70"/>
      <c r="AC217" s="80"/>
      <c r="AD217" s="70"/>
    </row>
    <row r="218" spans="1:30" s="82" customFormat="1" ht="125.25" customHeight="1">
      <c r="A218" s="70">
        <f t="shared" si="3"/>
        <v>215</v>
      </c>
      <c r="B218" s="57"/>
      <c r="C218" s="70"/>
      <c r="D218" s="70"/>
      <c r="E218" s="70"/>
      <c r="F218" s="70"/>
      <c r="G218" s="70"/>
      <c r="H218" s="70"/>
      <c r="I218" s="70"/>
      <c r="J218" s="70"/>
      <c r="K218" s="78"/>
      <c r="L218" s="70"/>
      <c r="M218" s="70"/>
      <c r="N218" s="70"/>
      <c r="O218" s="70"/>
      <c r="P218" s="70"/>
      <c r="Q218" s="70"/>
      <c r="R218" s="70"/>
      <c r="S218" s="70"/>
      <c r="T218" s="70"/>
      <c r="U218" s="70"/>
      <c r="V218" s="70"/>
      <c r="W218" s="70"/>
      <c r="X218" s="79"/>
      <c r="Y218" s="80"/>
      <c r="Z218" s="80"/>
      <c r="AA218" s="70"/>
      <c r="AB218" s="70"/>
      <c r="AC218" s="80"/>
      <c r="AD218" s="70"/>
    </row>
    <row r="219" spans="1:30" s="82" customFormat="1" ht="125.25" customHeight="1">
      <c r="A219" s="70">
        <f t="shared" si="3"/>
        <v>216</v>
      </c>
      <c r="B219" s="57"/>
      <c r="C219" s="70"/>
      <c r="D219" s="70"/>
      <c r="E219" s="70"/>
      <c r="F219" s="70"/>
      <c r="G219" s="70"/>
      <c r="H219" s="70"/>
      <c r="I219" s="70"/>
      <c r="J219" s="70"/>
      <c r="K219" s="78"/>
      <c r="L219" s="70"/>
      <c r="M219" s="70"/>
      <c r="N219" s="70"/>
      <c r="O219" s="70"/>
      <c r="P219" s="70"/>
      <c r="Q219" s="70"/>
      <c r="R219" s="70"/>
      <c r="S219" s="70"/>
      <c r="T219" s="70"/>
      <c r="U219" s="70"/>
      <c r="V219" s="70"/>
      <c r="W219" s="70"/>
      <c r="X219" s="79"/>
      <c r="Y219" s="80"/>
      <c r="Z219" s="80"/>
      <c r="AA219" s="70"/>
      <c r="AB219" s="70"/>
      <c r="AC219" s="80"/>
      <c r="AD219" s="70"/>
    </row>
    <row r="220" spans="1:30" s="82" customFormat="1" ht="125.25" customHeight="1">
      <c r="A220" s="70">
        <f t="shared" si="3"/>
        <v>217</v>
      </c>
      <c r="B220" s="57"/>
      <c r="C220" s="70"/>
      <c r="D220" s="70"/>
      <c r="E220" s="70"/>
      <c r="F220" s="70"/>
      <c r="G220" s="70"/>
      <c r="H220" s="70"/>
      <c r="I220" s="70"/>
      <c r="J220" s="70"/>
      <c r="K220" s="78"/>
      <c r="L220" s="70"/>
      <c r="M220" s="70"/>
      <c r="N220" s="70"/>
      <c r="O220" s="70"/>
      <c r="P220" s="70"/>
      <c r="Q220" s="70"/>
      <c r="R220" s="70"/>
      <c r="S220" s="70"/>
      <c r="T220" s="70"/>
      <c r="U220" s="70"/>
      <c r="V220" s="70"/>
      <c r="W220" s="70"/>
      <c r="X220" s="79"/>
      <c r="Y220" s="80"/>
      <c r="Z220" s="80"/>
      <c r="AA220" s="70"/>
      <c r="AB220" s="70"/>
      <c r="AC220" s="80"/>
      <c r="AD220" s="70"/>
    </row>
    <row r="221" spans="1:30" s="82" customFormat="1" ht="125.25" customHeight="1">
      <c r="A221" s="70">
        <f t="shared" si="3"/>
        <v>218</v>
      </c>
      <c r="B221" s="57"/>
      <c r="C221" s="70"/>
      <c r="D221" s="70"/>
      <c r="E221" s="70"/>
      <c r="F221" s="70"/>
      <c r="G221" s="70"/>
      <c r="H221" s="70"/>
      <c r="I221" s="70"/>
      <c r="J221" s="70"/>
      <c r="K221" s="78"/>
      <c r="L221" s="70"/>
      <c r="M221" s="70"/>
      <c r="N221" s="70"/>
      <c r="O221" s="70"/>
      <c r="P221" s="70"/>
      <c r="Q221" s="70"/>
      <c r="R221" s="70"/>
      <c r="S221" s="70"/>
      <c r="T221" s="70"/>
      <c r="U221" s="70"/>
      <c r="V221" s="70"/>
      <c r="W221" s="70"/>
      <c r="X221" s="79"/>
      <c r="Y221" s="80"/>
      <c r="Z221" s="80"/>
      <c r="AA221" s="70"/>
      <c r="AB221" s="70"/>
      <c r="AC221" s="80"/>
      <c r="AD221" s="70"/>
    </row>
    <row r="222" spans="1:30" s="82" customFormat="1" ht="125.25" customHeight="1">
      <c r="A222" s="70">
        <f t="shared" si="3"/>
        <v>219</v>
      </c>
      <c r="B222" s="57"/>
      <c r="C222" s="70"/>
      <c r="D222" s="70"/>
      <c r="E222" s="70"/>
      <c r="F222" s="70"/>
      <c r="G222" s="70"/>
      <c r="H222" s="70"/>
      <c r="I222" s="70"/>
      <c r="J222" s="70"/>
      <c r="K222" s="78"/>
      <c r="L222" s="70"/>
      <c r="M222" s="70"/>
      <c r="N222" s="70"/>
      <c r="O222" s="70"/>
      <c r="P222" s="70"/>
      <c r="Q222" s="70"/>
      <c r="R222" s="70"/>
      <c r="S222" s="70"/>
      <c r="T222" s="70"/>
      <c r="U222" s="70"/>
      <c r="V222" s="70"/>
      <c r="W222" s="70"/>
      <c r="X222" s="79"/>
      <c r="Y222" s="80"/>
      <c r="Z222" s="80"/>
      <c r="AA222" s="70"/>
      <c r="AB222" s="70"/>
      <c r="AC222" s="80"/>
      <c r="AD222" s="70"/>
    </row>
    <row r="223" spans="1:30" s="82" customFormat="1" ht="125.25" customHeight="1">
      <c r="A223" s="70">
        <f t="shared" si="3"/>
        <v>220</v>
      </c>
      <c r="B223" s="57"/>
      <c r="C223" s="70"/>
      <c r="D223" s="70"/>
      <c r="E223" s="70"/>
      <c r="F223" s="70"/>
      <c r="G223" s="70"/>
      <c r="H223" s="70"/>
      <c r="I223" s="70"/>
      <c r="J223" s="70"/>
      <c r="K223" s="78"/>
      <c r="L223" s="70"/>
      <c r="M223" s="70"/>
      <c r="N223" s="70"/>
      <c r="O223" s="70"/>
      <c r="P223" s="70"/>
      <c r="Q223" s="70"/>
      <c r="R223" s="70"/>
      <c r="S223" s="70"/>
      <c r="T223" s="70"/>
      <c r="U223" s="70"/>
      <c r="V223" s="70"/>
      <c r="W223" s="70"/>
      <c r="X223" s="79"/>
      <c r="Y223" s="80"/>
      <c r="Z223" s="80"/>
      <c r="AA223" s="70"/>
      <c r="AB223" s="70"/>
      <c r="AC223" s="80"/>
      <c r="AD223" s="70"/>
    </row>
    <row r="224" spans="1:30" s="82" customFormat="1" ht="125.25" customHeight="1">
      <c r="A224" s="70">
        <f t="shared" si="3"/>
        <v>221</v>
      </c>
      <c r="B224" s="57"/>
      <c r="C224" s="70"/>
      <c r="D224" s="70"/>
      <c r="E224" s="70"/>
      <c r="F224" s="70"/>
      <c r="G224" s="70"/>
      <c r="H224" s="70"/>
      <c r="I224" s="70"/>
      <c r="J224" s="70"/>
      <c r="K224" s="78"/>
      <c r="L224" s="70"/>
      <c r="M224" s="70"/>
      <c r="N224" s="70"/>
      <c r="O224" s="70"/>
      <c r="P224" s="70"/>
      <c r="Q224" s="70"/>
      <c r="R224" s="70"/>
      <c r="S224" s="70"/>
      <c r="T224" s="70"/>
      <c r="U224" s="70"/>
      <c r="V224" s="70"/>
      <c r="W224" s="70"/>
      <c r="X224" s="79"/>
      <c r="Y224" s="80"/>
      <c r="Z224" s="80"/>
      <c r="AA224" s="70"/>
      <c r="AB224" s="70"/>
      <c r="AC224" s="80"/>
      <c r="AD224" s="70"/>
    </row>
    <row r="225" spans="1:30" s="82" customFormat="1" ht="125.25" customHeight="1">
      <c r="A225" s="70">
        <f t="shared" si="3"/>
        <v>222</v>
      </c>
      <c r="B225" s="57"/>
      <c r="C225" s="70"/>
      <c r="D225" s="70"/>
      <c r="E225" s="70"/>
      <c r="F225" s="70"/>
      <c r="G225" s="70"/>
      <c r="H225" s="70"/>
      <c r="I225" s="70"/>
      <c r="J225" s="70"/>
      <c r="K225" s="78"/>
      <c r="L225" s="70"/>
      <c r="M225" s="70"/>
      <c r="N225" s="70"/>
      <c r="O225" s="70"/>
      <c r="P225" s="70"/>
      <c r="Q225" s="70"/>
      <c r="R225" s="70"/>
      <c r="S225" s="70"/>
      <c r="T225" s="70"/>
      <c r="U225" s="70"/>
      <c r="V225" s="70"/>
      <c r="W225" s="70"/>
      <c r="X225" s="79"/>
      <c r="Y225" s="80"/>
      <c r="Z225" s="80"/>
      <c r="AA225" s="70"/>
      <c r="AB225" s="70"/>
      <c r="AC225" s="80"/>
      <c r="AD225" s="70"/>
    </row>
    <row r="226" spans="1:30" s="82" customFormat="1" ht="125.25" customHeight="1">
      <c r="A226" s="70">
        <f t="shared" si="3"/>
        <v>223</v>
      </c>
      <c r="B226" s="57"/>
      <c r="C226" s="70"/>
      <c r="D226" s="70"/>
      <c r="E226" s="70"/>
      <c r="F226" s="70"/>
      <c r="G226" s="70"/>
      <c r="H226" s="70"/>
      <c r="I226" s="70"/>
      <c r="J226" s="70"/>
      <c r="K226" s="78"/>
      <c r="L226" s="70"/>
      <c r="M226" s="70"/>
      <c r="N226" s="70"/>
      <c r="O226" s="70"/>
      <c r="P226" s="70"/>
      <c r="Q226" s="70"/>
      <c r="R226" s="70"/>
      <c r="S226" s="70"/>
      <c r="T226" s="70"/>
      <c r="U226" s="70"/>
      <c r="V226" s="70"/>
      <c r="W226" s="70"/>
      <c r="X226" s="79"/>
      <c r="Y226" s="80"/>
      <c r="Z226" s="80"/>
      <c r="AA226" s="70"/>
      <c r="AB226" s="70"/>
      <c r="AC226" s="80"/>
      <c r="AD226" s="70"/>
    </row>
    <row r="227" spans="1:30" s="82" customFormat="1" ht="125.25" customHeight="1">
      <c r="A227" s="70">
        <f t="shared" si="3"/>
        <v>224</v>
      </c>
      <c r="B227" s="57"/>
      <c r="C227" s="70"/>
      <c r="D227" s="70"/>
      <c r="E227" s="70"/>
      <c r="F227" s="70"/>
      <c r="G227" s="70"/>
      <c r="H227" s="70"/>
      <c r="I227" s="70"/>
      <c r="J227" s="70"/>
      <c r="K227" s="78"/>
      <c r="L227" s="70"/>
      <c r="M227" s="70"/>
      <c r="N227" s="70"/>
      <c r="O227" s="70"/>
      <c r="P227" s="70"/>
      <c r="Q227" s="70"/>
      <c r="R227" s="70"/>
      <c r="S227" s="70"/>
      <c r="T227" s="70"/>
      <c r="U227" s="70"/>
      <c r="V227" s="70"/>
      <c r="W227" s="70"/>
      <c r="X227" s="79"/>
      <c r="Y227" s="80"/>
      <c r="Z227" s="80"/>
      <c r="AA227" s="70"/>
      <c r="AB227" s="70"/>
      <c r="AC227" s="80"/>
      <c r="AD227" s="70"/>
    </row>
    <row r="228" spans="1:30" s="82" customFormat="1" ht="125.25" customHeight="1">
      <c r="A228" s="70">
        <f t="shared" si="3"/>
        <v>225</v>
      </c>
      <c r="B228" s="57"/>
      <c r="C228" s="70"/>
      <c r="D228" s="70"/>
      <c r="E228" s="70"/>
      <c r="F228" s="70"/>
      <c r="G228" s="70"/>
      <c r="H228" s="70"/>
      <c r="I228" s="70"/>
      <c r="J228" s="70"/>
      <c r="K228" s="78"/>
      <c r="L228" s="70"/>
      <c r="M228" s="70"/>
      <c r="N228" s="70"/>
      <c r="O228" s="70"/>
      <c r="P228" s="70"/>
      <c r="Q228" s="70"/>
      <c r="R228" s="70"/>
      <c r="S228" s="70"/>
      <c r="T228" s="70"/>
      <c r="U228" s="70"/>
      <c r="V228" s="70"/>
      <c r="W228" s="70"/>
      <c r="X228" s="79"/>
      <c r="Y228" s="80"/>
      <c r="Z228" s="80"/>
      <c r="AA228" s="70"/>
      <c r="AB228" s="70"/>
      <c r="AC228" s="80"/>
      <c r="AD228" s="70"/>
    </row>
    <row r="229" spans="1:30" s="82" customFormat="1" ht="125.25" customHeight="1">
      <c r="A229" s="70">
        <f t="shared" si="3"/>
        <v>226</v>
      </c>
      <c r="B229" s="57"/>
      <c r="C229" s="70"/>
      <c r="D229" s="70"/>
      <c r="E229" s="70"/>
      <c r="F229" s="70"/>
      <c r="G229" s="70"/>
      <c r="H229" s="70"/>
      <c r="I229" s="70"/>
      <c r="J229" s="70"/>
      <c r="K229" s="78"/>
      <c r="L229" s="70"/>
      <c r="M229" s="70"/>
      <c r="N229" s="70"/>
      <c r="O229" s="70"/>
      <c r="P229" s="70"/>
      <c r="Q229" s="70"/>
      <c r="R229" s="70"/>
      <c r="S229" s="70"/>
      <c r="T229" s="70"/>
      <c r="U229" s="70"/>
      <c r="V229" s="70"/>
      <c r="W229" s="70"/>
      <c r="X229" s="79"/>
      <c r="Y229" s="80"/>
      <c r="Z229" s="80"/>
      <c r="AA229" s="70"/>
      <c r="AB229" s="70"/>
      <c r="AC229" s="80"/>
      <c r="AD229" s="70"/>
    </row>
    <row r="230" spans="1:30" s="82" customFormat="1" ht="125.25" customHeight="1">
      <c r="A230" s="70">
        <f t="shared" si="3"/>
        <v>227</v>
      </c>
      <c r="B230" s="57"/>
      <c r="C230" s="70"/>
      <c r="D230" s="70"/>
      <c r="E230" s="70"/>
      <c r="F230" s="70"/>
      <c r="G230" s="70"/>
      <c r="H230" s="70"/>
      <c r="I230" s="70"/>
      <c r="J230" s="70"/>
      <c r="K230" s="78"/>
      <c r="L230" s="70"/>
      <c r="M230" s="70"/>
      <c r="N230" s="70"/>
      <c r="O230" s="70"/>
      <c r="P230" s="70"/>
      <c r="Q230" s="70"/>
      <c r="R230" s="70"/>
      <c r="S230" s="70"/>
      <c r="T230" s="70"/>
      <c r="U230" s="70"/>
      <c r="V230" s="70"/>
      <c r="W230" s="70"/>
      <c r="X230" s="79"/>
      <c r="Y230" s="80"/>
      <c r="Z230" s="80"/>
      <c r="AA230" s="70"/>
      <c r="AB230" s="70"/>
      <c r="AC230" s="80"/>
      <c r="AD230" s="70"/>
    </row>
    <row r="231" spans="1:30" s="82" customFormat="1" ht="125.25" customHeight="1">
      <c r="A231" s="70">
        <f t="shared" si="3"/>
        <v>228</v>
      </c>
      <c r="B231" s="57"/>
      <c r="C231" s="70"/>
      <c r="D231" s="70"/>
      <c r="E231" s="70"/>
      <c r="F231" s="70"/>
      <c r="G231" s="70"/>
      <c r="H231" s="70"/>
      <c r="I231" s="70"/>
      <c r="J231" s="70"/>
      <c r="K231" s="78"/>
      <c r="L231" s="70"/>
      <c r="M231" s="70"/>
      <c r="N231" s="70"/>
      <c r="O231" s="70"/>
      <c r="P231" s="70"/>
      <c r="Q231" s="70"/>
      <c r="R231" s="70"/>
      <c r="S231" s="70"/>
      <c r="T231" s="70"/>
      <c r="U231" s="70"/>
      <c r="V231" s="70"/>
      <c r="W231" s="70"/>
      <c r="X231" s="79"/>
      <c r="Y231" s="80"/>
      <c r="Z231" s="80"/>
      <c r="AA231" s="70"/>
      <c r="AB231" s="70"/>
      <c r="AC231" s="80"/>
      <c r="AD231" s="70"/>
    </row>
    <row r="232" spans="1:30" s="82" customFormat="1" ht="125.25" customHeight="1">
      <c r="A232" s="70">
        <f t="shared" si="3"/>
        <v>229</v>
      </c>
      <c r="B232" s="57"/>
      <c r="C232" s="70"/>
      <c r="D232" s="70"/>
      <c r="E232" s="70"/>
      <c r="F232" s="70"/>
      <c r="G232" s="70"/>
      <c r="H232" s="70"/>
      <c r="I232" s="70"/>
      <c r="J232" s="70"/>
      <c r="K232" s="78"/>
      <c r="L232" s="70"/>
      <c r="M232" s="70"/>
      <c r="N232" s="70"/>
      <c r="O232" s="70"/>
      <c r="P232" s="70"/>
      <c r="Q232" s="70"/>
      <c r="R232" s="70"/>
      <c r="S232" s="70"/>
      <c r="T232" s="70"/>
      <c r="U232" s="70"/>
      <c r="V232" s="70"/>
      <c r="W232" s="70"/>
      <c r="X232" s="79"/>
      <c r="Y232" s="80"/>
      <c r="Z232" s="80"/>
      <c r="AA232" s="70"/>
      <c r="AB232" s="70"/>
      <c r="AC232" s="80"/>
      <c r="AD232" s="70"/>
    </row>
    <row r="233" spans="1:30" s="82" customFormat="1" ht="125.25" customHeight="1">
      <c r="A233" s="70">
        <f t="shared" si="3"/>
        <v>230</v>
      </c>
      <c r="B233" s="57"/>
      <c r="C233" s="70"/>
      <c r="D233" s="70"/>
      <c r="E233" s="70"/>
      <c r="F233" s="70"/>
      <c r="G233" s="70"/>
      <c r="H233" s="70"/>
      <c r="I233" s="70"/>
      <c r="J233" s="70"/>
      <c r="K233" s="78"/>
      <c r="L233" s="70"/>
      <c r="M233" s="70"/>
      <c r="N233" s="70"/>
      <c r="O233" s="70"/>
      <c r="P233" s="70"/>
      <c r="Q233" s="70"/>
      <c r="R233" s="70"/>
      <c r="S233" s="70"/>
      <c r="T233" s="70"/>
      <c r="U233" s="70"/>
      <c r="V233" s="70"/>
      <c r="W233" s="70"/>
      <c r="X233" s="79"/>
      <c r="Y233" s="80"/>
      <c r="Z233" s="80"/>
      <c r="AA233" s="70"/>
      <c r="AB233" s="70"/>
      <c r="AC233" s="80"/>
      <c r="AD233" s="70"/>
    </row>
    <row r="234" spans="1:30" s="82" customFormat="1" ht="125.25" customHeight="1">
      <c r="A234" s="70">
        <f t="shared" si="3"/>
        <v>231</v>
      </c>
      <c r="B234" s="57"/>
      <c r="C234" s="70"/>
      <c r="D234" s="70"/>
      <c r="E234" s="70"/>
      <c r="F234" s="70"/>
      <c r="G234" s="70"/>
      <c r="H234" s="70"/>
      <c r="I234" s="70"/>
      <c r="J234" s="70"/>
      <c r="K234" s="78"/>
      <c r="L234" s="70"/>
      <c r="M234" s="70"/>
      <c r="N234" s="70"/>
      <c r="O234" s="70"/>
      <c r="P234" s="70"/>
      <c r="Q234" s="70"/>
      <c r="R234" s="70"/>
      <c r="S234" s="70"/>
      <c r="T234" s="70"/>
      <c r="U234" s="70"/>
      <c r="V234" s="70"/>
      <c r="W234" s="70"/>
      <c r="X234" s="79"/>
      <c r="Y234" s="80"/>
      <c r="Z234" s="80"/>
      <c r="AA234" s="70"/>
      <c r="AB234" s="70"/>
      <c r="AC234" s="80"/>
      <c r="AD234" s="70"/>
    </row>
    <row r="235" spans="1:30" s="82" customFormat="1" ht="125.25" customHeight="1">
      <c r="A235" s="70">
        <f t="shared" si="3"/>
        <v>232</v>
      </c>
      <c r="B235" s="57"/>
      <c r="C235" s="70"/>
      <c r="D235" s="70"/>
      <c r="E235" s="70"/>
      <c r="F235" s="70"/>
      <c r="G235" s="70"/>
      <c r="H235" s="70"/>
      <c r="I235" s="70"/>
      <c r="J235" s="70"/>
      <c r="K235" s="78"/>
      <c r="L235" s="70"/>
      <c r="M235" s="70"/>
      <c r="N235" s="70"/>
      <c r="O235" s="70"/>
      <c r="P235" s="70"/>
      <c r="Q235" s="70"/>
      <c r="R235" s="70"/>
      <c r="S235" s="70"/>
      <c r="T235" s="70"/>
      <c r="U235" s="70"/>
      <c r="V235" s="70"/>
      <c r="W235" s="70"/>
      <c r="X235" s="79"/>
      <c r="Y235" s="80"/>
      <c r="Z235" s="80"/>
      <c r="AA235" s="70"/>
      <c r="AB235" s="70"/>
      <c r="AC235" s="80"/>
      <c r="AD235" s="70"/>
    </row>
    <row r="236" spans="1:30" s="82" customFormat="1" ht="125.25" customHeight="1">
      <c r="A236" s="70">
        <f t="shared" si="3"/>
        <v>233</v>
      </c>
      <c r="B236" s="57"/>
      <c r="C236" s="70"/>
      <c r="D236" s="70"/>
      <c r="E236" s="70"/>
      <c r="F236" s="70"/>
      <c r="G236" s="70"/>
      <c r="H236" s="70"/>
      <c r="I236" s="70"/>
      <c r="J236" s="70"/>
      <c r="K236" s="78"/>
      <c r="L236" s="70"/>
      <c r="M236" s="70"/>
      <c r="N236" s="70"/>
      <c r="O236" s="70"/>
      <c r="P236" s="70"/>
      <c r="Q236" s="70"/>
      <c r="R236" s="70"/>
      <c r="S236" s="70"/>
      <c r="T236" s="70"/>
      <c r="U236" s="70"/>
      <c r="V236" s="70"/>
      <c r="W236" s="70"/>
      <c r="X236" s="79"/>
      <c r="Y236" s="80"/>
      <c r="Z236" s="80"/>
      <c r="AA236" s="70"/>
      <c r="AB236" s="70"/>
      <c r="AC236" s="80"/>
      <c r="AD236" s="70"/>
    </row>
    <row r="237" spans="1:30" s="82" customFormat="1" ht="125.25" customHeight="1">
      <c r="A237" s="70">
        <f t="shared" si="3"/>
        <v>234</v>
      </c>
      <c r="B237" s="57"/>
      <c r="C237" s="70"/>
      <c r="D237" s="70"/>
      <c r="E237" s="70"/>
      <c r="F237" s="70"/>
      <c r="G237" s="70"/>
      <c r="H237" s="70"/>
      <c r="I237" s="70"/>
      <c r="J237" s="70"/>
      <c r="K237" s="78"/>
      <c r="L237" s="70"/>
      <c r="M237" s="70"/>
      <c r="N237" s="70"/>
      <c r="O237" s="70"/>
      <c r="P237" s="70"/>
      <c r="Q237" s="70"/>
      <c r="R237" s="70"/>
      <c r="S237" s="70"/>
      <c r="T237" s="70"/>
      <c r="U237" s="70"/>
      <c r="V237" s="70"/>
      <c r="W237" s="70"/>
      <c r="X237" s="79"/>
      <c r="Y237" s="80"/>
      <c r="Z237" s="80"/>
      <c r="AA237" s="70"/>
      <c r="AB237" s="70"/>
      <c r="AC237" s="80"/>
      <c r="AD237" s="70"/>
    </row>
    <row r="238" spans="1:30" s="82" customFormat="1" ht="125.25" customHeight="1">
      <c r="A238" s="70">
        <f t="shared" si="3"/>
        <v>235</v>
      </c>
      <c r="B238" s="57"/>
      <c r="C238" s="70"/>
      <c r="D238" s="70"/>
      <c r="E238" s="70"/>
      <c r="F238" s="70"/>
      <c r="G238" s="70"/>
      <c r="H238" s="70"/>
      <c r="I238" s="70"/>
      <c r="J238" s="70"/>
      <c r="K238" s="78"/>
      <c r="L238" s="70"/>
      <c r="M238" s="70"/>
      <c r="N238" s="70"/>
      <c r="O238" s="70"/>
      <c r="P238" s="70"/>
      <c r="Q238" s="70"/>
      <c r="R238" s="70"/>
      <c r="S238" s="70"/>
      <c r="T238" s="70"/>
      <c r="U238" s="70"/>
      <c r="V238" s="70"/>
      <c r="W238" s="70"/>
      <c r="X238" s="79"/>
      <c r="Y238" s="80"/>
      <c r="Z238" s="80"/>
      <c r="AA238" s="70"/>
      <c r="AB238" s="70"/>
      <c r="AC238" s="80"/>
      <c r="AD238" s="70"/>
    </row>
    <row r="239" spans="1:30" s="82" customFormat="1" ht="125.25" customHeight="1">
      <c r="A239" s="70">
        <f t="shared" si="3"/>
        <v>236</v>
      </c>
      <c r="B239" s="57"/>
      <c r="C239" s="70"/>
      <c r="D239" s="70"/>
      <c r="E239" s="70"/>
      <c r="F239" s="70"/>
      <c r="G239" s="70"/>
      <c r="H239" s="70"/>
      <c r="I239" s="70"/>
      <c r="J239" s="70"/>
      <c r="K239" s="78"/>
      <c r="L239" s="70"/>
      <c r="M239" s="70"/>
      <c r="N239" s="70"/>
      <c r="O239" s="70"/>
      <c r="P239" s="70"/>
      <c r="Q239" s="70"/>
      <c r="R239" s="70"/>
      <c r="S239" s="70"/>
      <c r="T239" s="70"/>
      <c r="U239" s="70"/>
      <c r="V239" s="70"/>
      <c r="W239" s="70"/>
      <c r="X239" s="79"/>
      <c r="Y239" s="80"/>
      <c r="Z239" s="80"/>
      <c r="AA239" s="70"/>
      <c r="AB239" s="70"/>
      <c r="AC239" s="80"/>
      <c r="AD239" s="70"/>
    </row>
    <row r="240" spans="1:30" s="82" customFormat="1" ht="125.25" customHeight="1">
      <c r="A240" s="70">
        <f t="shared" si="3"/>
        <v>237</v>
      </c>
      <c r="B240" s="57"/>
      <c r="C240" s="70"/>
      <c r="D240" s="70"/>
      <c r="E240" s="70"/>
      <c r="F240" s="70"/>
      <c r="G240" s="70"/>
      <c r="H240" s="70"/>
      <c r="I240" s="70"/>
      <c r="J240" s="70"/>
      <c r="K240" s="78"/>
      <c r="L240" s="70"/>
      <c r="M240" s="70"/>
      <c r="N240" s="70"/>
      <c r="O240" s="70"/>
      <c r="P240" s="70"/>
      <c r="Q240" s="70"/>
      <c r="R240" s="70"/>
      <c r="S240" s="70"/>
      <c r="T240" s="70"/>
      <c r="U240" s="70"/>
      <c r="V240" s="70"/>
      <c r="W240" s="70"/>
      <c r="X240" s="79"/>
      <c r="Y240" s="80"/>
      <c r="Z240" s="80"/>
      <c r="AA240" s="70"/>
      <c r="AB240" s="70"/>
      <c r="AC240" s="80"/>
      <c r="AD240" s="70"/>
    </row>
    <row r="241" spans="1:30" s="82" customFormat="1" ht="125.25" customHeight="1">
      <c r="A241" s="70">
        <f t="shared" si="3"/>
        <v>238</v>
      </c>
      <c r="B241" s="57"/>
      <c r="C241" s="70"/>
      <c r="D241" s="70"/>
      <c r="E241" s="70"/>
      <c r="F241" s="70"/>
      <c r="G241" s="70"/>
      <c r="H241" s="70"/>
      <c r="I241" s="70"/>
      <c r="J241" s="70"/>
      <c r="K241" s="78"/>
      <c r="L241" s="70"/>
      <c r="M241" s="70"/>
      <c r="N241" s="70"/>
      <c r="O241" s="70"/>
      <c r="P241" s="70"/>
      <c r="Q241" s="70"/>
      <c r="R241" s="70"/>
      <c r="S241" s="70"/>
      <c r="T241" s="70"/>
      <c r="U241" s="70"/>
      <c r="V241" s="70"/>
      <c r="W241" s="70"/>
      <c r="X241" s="79"/>
      <c r="Y241" s="80"/>
      <c r="Z241" s="80"/>
      <c r="AA241" s="70"/>
      <c r="AB241" s="70"/>
      <c r="AC241" s="80"/>
      <c r="AD241" s="70"/>
    </row>
    <row r="242" spans="1:30" s="82" customFormat="1" ht="125.25" customHeight="1">
      <c r="A242" s="70">
        <f t="shared" si="3"/>
        <v>239</v>
      </c>
      <c r="B242" s="57"/>
      <c r="C242" s="70"/>
      <c r="D242" s="70"/>
      <c r="E242" s="70"/>
      <c r="F242" s="70"/>
      <c r="G242" s="70"/>
      <c r="H242" s="70"/>
      <c r="I242" s="70"/>
      <c r="J242" s="70"/>
      <c r="K242" s="78"/>
      <c r="L242" s="70"/>
      <c r="M242" s="70"/>
      <c r="N242" s="70"/>
      <c r="O242" s="70"/>
      <c r="P242" s="70"/>
      <c r="Q242" s="70"/>
      <c r="R242" s="70"/>
      <c r="S242" s="70"/>
      <c r="T242" s="70"/>
      <c r="U242" s="70"/>
      <c r="V242" s="70"/>
      <c r="W242" s="70"/>
      <c r="X242" s="79"/>
      <c r="Y242" s="80"/>
      <c r="Z242" s="80"/>
      <c r="AA242" s="70"/>
      <c r="AB242" s="70"/>
      <c r="AC242" s="80"/>
      <c r="AD242" s="70"/>
    </row>
    <row r="243" spans="1:30" s="82" customFormat="1" ht="125.25" customHeight="1">
      <c r="A243" s="70">
        <f t="shared" si="3"/>
        <v>240</v>
      </c>
      <c r="B243" s="57"/>
      <c r="C243" s="70"/>
      <c r="D243" s="70"/>
      <c r="E243" s="70"/>
      <c r="F243" s="70"/>
      <c r="G243" s="70"/>
      <c r="H243" s="70"/>
      <c r="I243" s="70"/>
      <c r="J243" s="70"/>
      <c r="K243" s="78"/>
      <c r="L243" s="70"/>
      <c r="M243" s="70"/>
      <c r="N243" s="70"/>
      <c r="O243" s="70"/>
      <c r="P243" s="70"/>
      <c r="Q243" s="70"/>
      <c r="R243" s="70"/>
      <c r="S243" s="70"/>
      <c r="T243" s="70"/>
      <c r="U243" s="70"/>
      <c r="V243" s="70"/>
      <c r="W243" s="70"/>
      <c r="X243" s="79"/>
      <c r="Y243" s="80"/>
      <c r="Z243" s="80"/>
      <c r="AA243" s="70"/>
      <c r="AB243" s="70"/>
      <c r="AC243" s="80"/>
      <c r="AD243" s="70"/>
    </row>
    <row r="244" spans="1:30" s="82" customFormat="1" ht="125.25" customHeight="1">
      <c r="A244" s="70">
        <f t="shared" si="3"/>
        <v>241</v>
      </c>
      <c r="B244" s="57"/>
      <c r="C244" s="70"/>
      <c r="D244" s="70"/>
      <c r="E244" s="70"/>
      <c r="F244" s="70"/>
      <c r="G244" s="70"/>
      <c r="H244" s="70"/>
      <c r="I244" s="70"/>
      <c r="J244" s="70"/>
      <c r="K244" s="78"/>
      <c r="L244" s="70"/>
      <c r="M244" s="70"/>
      <c r="N244" s="70"/>
      <c r="O244" s="70"/>
      <c r="P244" s="70"/>
      <c r="Q244" s="70"/>
      <c r="R244" s="70"/>
      <c r="S244" s="70"/>
      <c r="T244" s="70"/>
      <c r="U244" s="70"/>
      <c r="V244" s="70"/>
      <c r="W244" s="70"/>
      <c r="X244" s="79"/>
      <c r="Y244" s="80"/>
      <c r="Z244" s="80"/>
      <c r="AA244" s="70"/>
      <c r="AB244" s="70"/>
      <c r="AC244" s="80"/>
      <c r="AD244" s="70"/>
    </row>
    <row r="245" spans="1:30" s="82" customFormat="1" ht="125.25" customHeight="1">
      <c r="A245" s="70">
        <f t="shared" si="3"/>
        <v>242</v>
      </c>
      <c r="B245" s="57"/>
      <c r="C245" s="70"/>
      <c r="D245" s="70"/>
      <c r="E245" s="70"/>
      <c r="F245" s="70"/>
      <c r="G245" s="70"/>
      <c r="H245" s="70"/>
      <c r="I245" s="70"/>
      <c r="J245" s="70"/>
      <c r="K245" s="78"/>
      <c r="L245" s="70"/>
      <c r="M245" s="70"/>
      <c r="N245" s="70"/>
      <c r="O245" s="70"/>
      <c r="P245" s="70"/>
      <c r="Q245" s="70"/>
      <c r="R245" s="70"/>
      <c r="S245" s="70"/>
      <c r="T245" s="70"/>
      <c r="U245" s="70"/>
      <c r="V245" s="70"/>
      <c r="W245" s="70"/>
      <c r="X245" s="79"/>
      <c r="Y245" s="80"/>
      <c r="Z245" s="80"/>
      <c r="AA245" s="70"/>
      <c r="AB245" s="70"/>
      <c r="AC245" s="80"/>
      <c r="AD245" s="70"/>
    </row>
    <row r="246" spans="1:30" s="82" customFormat="1" ht="125.25" customHeight="1">
      <c r="A246" s="70">
        <f t="shared" si="3"/>
        <v>243</v>
      </c>
      <c r="B246" s="57"/>
      <c r="C246" s="70"/>
      <c r="D246" s="70"/>
      <c r="E246" s="70"/>
      <c r="F246" s="70"/>
      <c r="G246" s="70"/>
      <c r="H246" s="70"/>
      <c r="I246" s="70"/>
      <c r="J246" s="70"/>
      <c r="K246" s="78"/>
      <c r="L246" s="70"/>
      <c r="M246" s="70"/>
      <c r="N246" s="70"/>
      <c r="O246" s="70"/>
      <c r="P246" s="70"/>
      <c r="Q246" s="70"/>
      <c r="R246" s="70"/>
      <c r="S246" s="70"/>
      <c r="T246" s="70"/>
      <c r="U246" s="70"/>
      <c r="V246" s="70"/>
      <c r="W246" s="70"/>
      <c r="X246" s="79"/>
      <c r="Y246" s="80"/>
      <c r="Z246" s="80"/>
      <c r="AA246" s="70"/>
      <c r="AB246" s="70"/>
      <c r="AC246" s="80"/>
      <c r="AD246" s="70"/>
    </row>
    <row r="247" spans="1:30" s="82" customFormat="1" ht="125.25" customHeight="1">
      <c r="A247" s="70">
        <f t="shared" si="3"/>
        <v>244</v>
      </c>
      <c r="B247" s="57"/>
      <c r="C247" s="70"/>
      <c r="D247" s="70"/>
      <c r="E247" s="70"/>
      <c r="F247" s="70"/>
      <c r="G247" s="70"/>
      <c r="H247" s="70"/>
      <c r="I247" s="70"/>
      <c r="J247" s="70"/>
      <c r="K247" s="78"/>
      <c r="L247" s="70"/>
      <c r="M247" s="70"/>
      <c r="N247" s="70"/>
      <c r="O247" s="70"/>
      <c r="P247" s="70"/>
      <c r="Q247" s="70"/>
      <c r="R247" s="70"/>
      <c r="S247" s="70"/>
      <c r="T247" s="70"/>
      <c r="U247" s="70"/>
      <c r="V247" s="70"/>
      <c r="W247" s="70"/>
      <c r="X247" s="79"/>
      <c r="Y247" s="80"/>
      <c r="Z247" s="80"/>
      <c r="AA247" s="70"/>
      <c r="AB247" s="70"/>
      <c r="AC247" s="80"/>
      <c r="AD247" s="70"/>
    </row>
    <row r="248" spans="1:30" s="82" customFormat="1" ht="125.25" customHeight="1">
      <c r="A248" s="70">
        <f t="shared" si="3"/>
        <v>245</v>
      </c>
      <c r="B248" s="57"/>
      <c r="C248" s="70"/>
      <c r="D248" s="70"/>
      <c r="E248" s="70"/>
      <c r="F248" s="70"/>
      <c r="G248" s="70"/>
      <c r="H248" s="70"/>
      <c r="I248" s="70"/>
      <c r="J248" s="70"/>
      <c r="K248" s="78"/>
      <c r="L248" s="70"/>
      <c r="M248" s="70"/>
      <c r="N248" s="70"/>
      <c r="O248" s="70"/>
      <c r="P248" s="70"/>
      <c r="Q248" s="70"/>
      <c r="R248" s="70"/>
      <c r="S248" s="70"/>
      <c r="T248" s="70"/>
      <c r="U248" s="70"/>
      <c r="V248" s="70"/>
      <c r="W248" s="70"/>
      <c r="X248" s="79"/>
      <c r="Y248" s="80"/>
      <c r="Z248" s="80"/>
      <c r="AA248" s="70"/>
      <c r="AB248" s="70"/>
      <c r="AC248" s="80"/>
      <c r="AD248" s="70"/>
    </row>
    <row r="249" spans="1:30" s="82" customFormat="1" ht="125.25" customHeight="1">
      <c r="A249" s="70">
        <f t="shared" si="3"/>
        <v>246</v>
      </c>
      <c r="B249" s="57"/>
      <c r="C249" s="70"/>
      <c r="D249" s="70"/>
      <c r="E249" s="70"/>
      <c r="F249" s="70"/>
      <c r="G249" s="70"/>
      <c r="H249" s="70"/>
      <c r="I249" s="70"/>
      <c r="J249" s="70"/>
      <c r="K249" s="78"/>
      <c r="L249" s="70"/>
      <c r="M249" s="70"/>
      <c r="N249" s="70"/>
      <c r="O249" s="70"/>
      <c r="P249" s="70"/>
      <c r="Q249" s="70"/>
      <c r="R249" s="70"/>
      <c r="S249" s="70"/>
      <c r="T249" s="70"/>
      <c r="U249" s="70"/>
      <c r="V249" s="70"/>
      <c r="W249" s="70"/>
      <c r="X249" s="79"/>
      <c r="Y249" s="80"/>
      <c r="Z249" s="80"/>
      <c r="AA249" s="70"/>
      <c r="AB249" s="70"/>
      <c r="AC249" s="80"/>
      <c r="AD249" s="70"/>
    </row>
    <row r="250" spans="1:30" s="82" customFormat="1" ht="125.25" customHeight="1">
      <c r="A250" s="70">
        <f t="shared" si="3"/>
        <v>247</v>
      </c>
      <c r="B250" s="57"/>
      <c r="C250" s="70"/>
      <c r="D250" s="70"/>
      <c r="E250" s="70"/>
      <c r="F250" s="70"/>
      <c r="G250" s="70"/>
      <c r="H250" s="70"/>
      <c r="I250" s="70"/>
      <c r="J250" s="70"/>
      <c r="K250" s="78"/>
      <c r="L250" s="70"/>
      <c r="M250" s="70"/>
      <c r="N250" s="70"/>
      <c r="O250" s="70"/>
      <c r="P250" s="70"/>
      <c r="Q250" s="70"/>
      <c r="R250" s="70"/>
      <c r="S250" s="70"/>
      <c r="T250" s="70"/>
      <c r="U250" s="70"/>
      <c r="V250" s="70"/>
      <c r="W250" s="70"/>
      <c r="X250" s="79"/>
      <c r="Y250" s="80"/>
      <c r="Z250" s="80"/>
      <c r="AA250" s="70"/>
      <c r="AB250" s="70"/>
      <c r="AC250" s="80"/>
      <c r="AD250" s="70"/>
    </row>
    <row r="251" spans="1:30" s="82" customFormat="1" ht="125.25" customHeight="1">
      <c r="A251" s="70">
        <f t="shared" si="3"/>
        <v>248</v>
      </c>
      <c r="B251" s="57"/>
      <c r="C251" s="70"/>
      <c r="D251" s="70"/>
      <c r="E251" s="70"/>
      <c r="F251" s="70"/>
      <c r="G251" s="70"/>
      <c r="H251" s="70"/>
      <c r="I251" s="70"/>
      <c r="J251" s="70"/>
      <c r="K251" s="78"/>
      <c r="L251" s="70"/>
      <c r="M251" s="70"/>
      <c r="N251" s="70"/>
      <c r="O251" s="70"/>
      <c r="P251" s="70"/>
      <c r="Q251" s="70"/>
      <c r="R251" s="70"/>
      <c r="S251" s="70"/>
      <c r="T251" s="70"/>
      <c r="U251" s="70"/>
      <c r="V251" s="70"/>
      <c r="W251" s="70"/>
      <c r="X251" s="79"/>
      <c r="Y251" s="80"/>
      <c r="Z251" s="80"/>
      <c r="AA251" s="70"/>
      <c r="AB251" s="70"/>
      <c r="AC251" s="80"/>
      <c r="AD251" s="70"/>
    </row>
    <row r="252" spans="1:30" s="82" customFormat="1" ht="125.25" customHeight="1">
      <c r="A252" s="70">
        <f t="shared" si="3"/>
        <v>249</v>
      </c>
      <c r="B252" s="57"/>
      <c r="C252" s="70"/>
      <c r="D252" s="70"/>
      <c r="E252" s="70"/>
      <c r="F252" s="70"/>
      <c r="G252" s="70"/>
      <c r="H252" s="70"/>
      <c r="I252" s="70"/>
      <c r="J252" s="70"/>
      <c r="K252" s="78"/>
      <c r="L252" s="70"/>
      <c r="M252" s="70"/>
      <c r="N252" s="70"/>
      <c r="O252" s="70"/>
      <c r="P252" s="70"/>
      <c r="Q252" s="70"/>
      <c r="R252" s="70"/>
      <c r="S252" s="70"/>
      <c r="T252" s="70"/>
      <c r="U252" s="70"/>
      <c r="V252" s="70"/>
      <c r="W252" s="70"/>
      <c r="X252" s="79"/>
      <c r="Y252" s="80"/>
      <c r="Z252" s="80"/>
      <c r="AA252" s="70"/>
      <c r="AB252" s="70"/>
      <c r="AC252" s="80"/>
      <c r="AD252" s="70"/>
    </row>
    <row r="253" spans="1:30" s="82" customFormat="1" ht="125.25" customHeight="1">
      <c r="A253" s="70">
        <f t="shared" si="3"/>
        <v>250</v>
      </c>
      <c r="B253" s="57"/>
      <c r="C253" s="70"/>
      <c r="D253" s="70"/>
      <c r="E253" s="70"/>
      <c r="F253" s="70"/>
      <c r="G253" s="70"/>
      <c r="H253" s="70"/>
      <c r="I253" s="70"/>
      <c r="J253" s="70"/>
      <c r="K253" s="78"/>
      <c r="L253" s="70"/>
      <c r="M253" s="70"/>
      <c r="N253" s="70"/>
      <c r="O253" s="70"/>
      <c r="P253" s="70"/>
      <c r="Q253" s="70"/>
      <c r="R253" s="70"/>
      <c r="S253" s="70"/>
      <c r="T253" s="70"/>
      <c r="U253" s="70"/>
      <c r="V253" s="70"/>
      <c r="W253" s="70"/>
      <c r="X253" s="79"/>
      <c r="Y253" s="80"/>
      <c r="Z253" s="80"/>
      <c r="AA253" s="70"/>
      <c r="AB253" s="70"/>
      <c r="AC253" s="80"/>
      <c r="AD253" s="70"/>
    </row>
    <row r="254" spans="1:30" s="82" customFormat="1" ht="125.25" customHeight="1">
      <c r="A254" s="70">
        <f t="shared" si="3"/>
        <v>251</v>
      </c>
      <c r="B254" s="57"/>
      <c r="C254" s="70"/>
      <c r="D254" s="70"/>
      <c r="E254" s="70"/>
      <c r="F254" s="70"/>
      <c r="G254" s="70"/>
      <c r="H254" s="70"/>
      <c r="I254" s="70"/>
      <c r="J254" s="70"/>
      <c r="K254" s="78"/>
      <c r="L254" s="70"/>
      <c r="M254" s="70"/>
      <c r="N254" s="70"/>
      <c r="O254" s="70"/>
      <c r="P254" s="70"/>
      <c r="Q254" s="70"/>
      <c r="R254" s="70"/>
      <c r="S254" s="70"/>
      <c r="T254" s="70"/>
      <c r="U254" s="70"/>
      <c r="V254" s="70"/>
      <c r="W254" s="70"/>
      <c r="X254" s="79"/>
      <c r="Y254" s="80"/>
      <c r="Z254" s="80"/>
      <c r="AA254" s="70"/>
      <c r="AB254" s="70"/>
      <c r="AC254" s="80"/>
      <c r="AD254" s="70"/>
    </row>
    <row r="255" spans="1:30" s="82" customFormat="1" ht="125.25" customHeight="1">
      <c r="A255" s="70">
        <f t="shared" si="3"/>
        <v>252</v>
      </c>
      <c r="B255" s="57"/>
      <c r="C255" s="70"/>
      <c r="D255" s="70"/>
      <c r="E255" s="70"/>
      <c r="F255" s="70"/>
      <c r="G255" s="70"/>
      <c r="H255" s="70"/>
      <c r="I255" s="70"/>
      <c r="J255" s="70"/>
      <c r="K255" s="78"/>
      <c r="L255" s="70"/>
      <c r="M255" s="70"/>
      <c r="N255" s="70"/>
      <c r="O255" s="70"/>
      <c r="P255" s="70"/>
      <c r="Q255" s="70"/>
      <c r="R255" s="70"/>
      <c r="S255" s="70"/>
      <c r="T255" s="70"/>
      <c r="U255" s="70"/>
      <c r="V255" s="70"/>
      <c r="W255" s="70"/>
      <c r="X255" s="79"/>
      <c r="Y255" s="80"/>
      <c r="Z255" s="80"/>
      <c r="AA255" s="70"/>
      <c r="AB255" s="70"/>
      <c r="AC255" s="80"/>
      <c r="AD255" s="70"/>
    </row>
    <row r="256" spans="1:30" s="82" customFormat="1" ht="125.25" customHeight="1">
      <c r="A256" s="70">
        <f t="shared" si="3"/>
        <v>253</v>
      </c>
      <c r="B256" s="57"/>
      <c r="C256" s="70"/>
      <c r="D256" s="70"/>
      <c r="E256" s="70"/>
      <c r="F256" s="70"/>
      <c r="G256" s="70"/>
      <c r="H256" s="70"/>
      <c r="I256" s="70"/>
      <c r="J256" s="70"/>
      <c r="K256" s="78"/>
      <c r="L256" s="70"/>
      <c r="M256" s="70"/>
      <c r="N256" s="70"/>
      <c r="O256" s="70"/>
      <c r="P256" s="70"/>
      <c r="Q256" s="70"/>
      <c r="R256" s="70"/>
      <c r="S256" s="70"/>
      <c r="T256" s="70"/>
      <c r="U256" s="70"/>
      <c r="V256" s="70"/>
      <c r="W256" s="70"/>
      <c r="X256" s="79"/>
      <c r="Y256" s="80"/>
      <c r="Z256" s="80"/>
      <c r="AA256" s="70"/>
      <c r="AB256" s="70"/>
      <c r="AC256" s="80"/>
      <c r="AD256" s="70"/>
    </row>
    <row r="257" spans="1:30" s="82" customFormat="1" ht="125.25" customHeight="1">
      <c r="A257" s="70">
        <f t="shared" si="3"/>
        <v>254</v>
      </c>
      <c r="B257" s="57"/>
      <c r="C257" s="70"/>
      <c r="D257" s="70"/>
      <c r="E257" s="70"/>
      <c r="F257" s="70"/>
      <c r="G257" s="70"/>
      <c r="H257" s="70"/>
      <c r="I257" s="70"/>
      <c r="J257" s="70"/>
      <c r="K257" s="78"/>
      <c r="L257" s="70"/>
      <c r="M257" s="70"/>
      <c r="N257" s="70"/>
      <c r="O257" s="70"/>
      <c r="P257" s="70"/>
      <c r="Q257" s="70"/>
      <c r="R257" s="70"/>
      <c r="S257" s="70"/>
      <c r="T257" s="70"/>
      <c r="U257" s="70"/>
      <c r="V257" s="70"/>
      <c r="W257" s="70"/>
      <c r="X257" s="79"/>
      <c r="Y257" s="80"/>
      <c r="Z257" s="80"/>
      <c r="AA257" s="70"/>
      <c r="AB257" s="70"/>
      <c r="AC257" s="80"/>
      <c r="AD257" s="70"/>
    </row>
    <row r="258" spans="1:30" s="82" customFormat="1" ht="125.25" customHeight="1">
      <c r="A258" s="70">
        <f t="shared" si="3"/>
        <v>255</v>
      </c>
      <c r="B258" s="57"/>
      <c r="C258" s="70"/>
      <c r="D258" s="70"/>
      <c r="E258" s="70"/>
      <c r="F258" s="70"/>
      <c r="G258" s="70"/>
      <c r="H258" s="70"/>
      <c r="I258" s="70"/>
      <c r="J258" s="70"/>
      <c r="K258" s="78"/>
      <c r="L258" s="70"/>
      <c r="M258" s="70"/>
      <c r="N258" s="70"/>
      <c r="O258" s="70"/>
      <c r="P258" s="70"/>
      <c r="Q258" s="70"/>
      <c r="R258" s="70"/>
      <c r="S258" s="70"/>
      <c r="T258" s="70"/>
      <c r="U258" s="70"/>
      <c r="V258" s="70"/>
      <c r="W258" s="70"/>
      <c r="X258" s="79"/>
      <c r="Y258" s="80"/>
      <c r="Z258" s="80"/>
      <c r="AA258" s="70"/>
      <c r="AB258" s="70"/>
      <c r="AC258" s="80"/>
      <c r="AD258" s="70"/>
    </row>
    <row r="259" spans="1:30" s="82" customFormat="1" ht="125.25" customHeight="1">
      <c r="A259" s="70">
        <f t="shared" si="3"/>
        <v>256</v>
      </c>
      <c r="B259" s="57"/>
      <c r="C259" s="70"/>
      <c r="D259" s="70"/>
      <c r="E259" s="70"/>
      <c r="F259" s="70"/>
      <c r="G259" s="70"/>
      <c r="H259" s="70"/>
      <c r="I259" s="70"/>
      <c r="J259" s="70"/>
      <c r="K259" s="78"/>
      <c r="L259" s="70"/>
      <c r="M259" s="70"/>
      <c r="N259" s="70"/>
      <c r="O259" s="70"/>
      <c r="P259" s="70"/>
      <c r="Q259" s="70"/>
      <c r="R259" s="70"/>
      <c r="S259" s="70"/>
      <c r="T259" s="70"/>
      <c r="U259" s="70"/>
      <c r="V259" s="70"/>
      <c r="W259" s="70"/>
      <c r="X259" s="79"/>
      <c r="Y259" s="80"/>
      <c r="Z259" s="80"/>
      <c r="AA259" s="70"/>
      <c r="AB259" s="70"/>
      <c r="AC259" s="80"/>
      <c r="AD259" s="70"/>
    </row>
    <row r="260" spans="1:30" s="82" customFormat="1" ht="125.25" customHeight="1">
      <c r="A260" s="70">
        <f t="shared" si="3"/>
        <v>257</v>
      </c>
      <c r="B260" s="57"/>
      <c r="C260" s="70"/>
      <c r="D260" s="70"/>
      <c r="E260" s="70"/>
      <c r="F260" s="70"/>
      <c r="G260" s="70"/>
      <c r="H260" s="70"/>
      <c r="I260" s="70"/>
      <c r="J260" s="70"/>
      <c r="K260" s="78"/>
      <c r="L260" s="70"/>
      <c r="M260" s="70"/>
      <c r="N260" s="70"/>
      <c r="O260" s="70"/>
      <c r="P260" s="70"/>
      <c r="Q260" s="70"/>
      <c r="R260" s="70"/>
      <c r="S260" s="70"/>
      <c r="T260" s="70"/>
      <c r="U260" s="70"/>
      <c r="V260" s="70"/>
      <c r="W260" s="70"/>
      <c r="X260" s="79"/>
      <c r="Y260" s="80"/>
      <c r="Z260" s="80"/>
      <c r="AA260" s="70"/>
      <c r="AB260" s="70"/>
      <c r="AC260" s="80"/>
      <c r="AD260" s="70"/>
    </row>
    <row r="261" spans="1:30" s="82" customFormat="1" ht="125.25" customHeight="1">
      <c r="A261" s="70">
        <f t="shared" si="3"/>
        <v>258</v>
      </c>
      <c r="B261" s="57"/>
      <c r="C261" s="70"/>
      <c r="D261" s="70"/>
      <c r="E261" s="70"/>
      <c r="F261" s="70"/>
      <c r="G261" s="70"/>
      <c r="H261" s="70"/>
      <c r="I261" s="70"/>
      <c r="J261" s="70"/>
      <c r="K261" s="78"/>
      <c r="L261" s="70"/>
      <c r="M261" s="70"/>
      <c r="N261" s="70"/>
      <c r="O261" s="70"/>
      <c r="P261" s="70"/>
      <c r="Q261" s="70"/>
      <c r="R261" s="70"/>
      <c r="S261" s="70"/>
      <c r="T261" s="70"/>
      <c r="U261" s="70"/>
      <c r="V261" s="70"/>
      <c r="W261" s="70"/>
      <c r="X261" s="79"/>
      <c r="Y261" s="80"/>
      <c r="Z261" s="80"/>
      <c r="AA261" s="70"/>
      <c r="AB261" s="70"/>
      <c r="AC261" s="80"/>
      <c r="AD261" s="70"/>
    </row>
    <row r="262" spans="1:30" s="82" customFormat="1" ht="125.25" customHeight="1">
      <c r="A262" s="70">
        <f t="shared" ref="A262:A319" si="4">ROW()-3</f>
        <v>259</v>
      </c>
      <c r="B262" s="57"/>
      <c r="C262" s="70"/>
      <c r="D262" s="70"/>
      <c r="E262" s="70"/>
      <c r="F262" s="70"/>
      <c r="G262" s="70"/>
      <c r="H262" s="70"/>
      <c r="I262" s="70"/>
      <c r="J262" s="70"/>
      <c r="K262" s="78"/>
      <c r="L262" s="70"/>
      <c r="M262" s="70"/>
      <c r="N262" s="70"/>
      <c r="O262" s="70"/>
      <c r="P262" s="70"/>
      <c r="Q262" s="70"/>
      <c r="R262" s="70"/>
      <c r="S262" s="70"/>
      <c r="T262" s="70"/>
      <c r="U262" s="70"/>
      <c r="V262" s="70"/>
      <c r="W262" s="70"/>
      <c r="X262" s="79"/>
      <c r="Y262" s="80"/>
      <c r="Z262" s="80"/>
      <c r="AA262" s="70"/>
      <c r="AB262" s="70"/>
      <c r="AC262" s="80"/>
      <c r="AD262" s="70"/>
    </row>
    <row r="263" spans="1:30" s="82" customFormat="1" ht="125.25" customHeight="1">
      <c r="A263" s="70">
        <f t="shared" si="4"/>
        <v>260</v>
      </c>
      <c r="B263" s="57"/>
      <c r="C263" s="70"/>
      <c r="D263" s="70"/>
      <c r="E263" s="70"/>
      <c r="F263" s="70"/>
      <c r="G263" s="70"/>
      <c r="H263" s="70"/>
      <c r="I263" s="70"/>
      <c r="J263" s="70"/>
      <c r="K263" s="78"/>
      <c r="L263" s="70"/>
      <c r="M263" s="70"/>
      <c r="N263" s="70"/>
      <c r="O263" s="70"/>
      <c r="P263" s="70"/>
      <c r="Q263" s="70"/>
      <c r="R263" s="70"/>
      <c r="S263" s="70"/>
      <c r="T263" s="70"/>
      <c r="U263" s="70"/>
      <c r="V263" s="70"/>
      <c r="W263" s="70"/>
      <c r="X263" s="79"/>
      <c r="Y263" s="80"/>
      <c r="Z263" s="80"/>
      <c r="AA263" s="70"/>
      <c r="AB263" s="70"/>
      <c r="AC263" s="80"/>
      <c r="AD263" s="70"/>
    </row>
    <row r="264" spans="1:30" s="82" customFormat="1" ht="125.25" customHeight="1">
      <c r="A264" s="70">
        <f t="shared" si="4"/>
        <v>261</v>
      </c>
      <c r="B264" s="57"/>
      <c r="C264" s="70"/>
      <c r="D264" s="70"/>
      <c r="E264" s="70"/>
      <c r="F264" s="70"/>
      <c r="G264" s="70"/>
      <c r="H264" s="70"/>
      <c r="I264" s="70"/>
      <c r="J264" s="70"/>
      <c r="K264" s="78"/>
      <c r="L264" s="70"/>
      <c r="M264" s="70"/>
      <c r="N264" s="70"/>
      <c r="O264" s="70"/>
      <c r="P264" s="70"/>
      <c r="Q264" s="70"/>
      <c r="R264" s="70"/>
      <c r="S264" s="70"/>
      <c r="T264" s="70"/>
      <c r="U264" s="70"/>
      <c r="V264" s="70"/>
      <c r="W264" s="70"/>
      <c r="X264" s="79"/>
      <c r="Y264" s="80"/>
      <c r="Z264" s="80"/>
      <c r="AA264" s="70"/>
      <c r="AB264" s="70"/>
      <c r="AC264" s="80"/>
      <c r="AD264" s="70"/>
    </row>
    <row r="265" spans="1:30" s="82" customFormat="1" ht="125.25" customHeight="1">
      <c r="A265" s="70">
        <f t="shared" si="4"/>
        <v>262</v>
      </c>
      <c r="B265" s="57"/>
      <c r="C265" s="70"/>
      <c r="D265" s="70"/>
      <c r="E265" s="70"/>
      <c r="F265" s="70"/>
      <c r="G265" s="70"/>
      <c r="H265" s="70"/>
      <c r="I265" s="70"/>
      <c r="J265" s="70"/>
      <c r="K265" s="78"/>
      <c r="L265" s="70"/>
      <c r="M265" s="70"/>
      <c r="N265" s="70"/>
      <c r="O265" s="70"/>
      <c r="P265" s="70"/>
      <c r="Q265" s="70"/>
      <c r="R265" s="70"/>
      <c r="S265" s="70"/>
      <c r="T265" s="70"/>
      <c r="U265" s="70"/>
      <c r="V265" s="70"/>
      <c r="W265" s="70"/>
      <c r="X265" s="79"/>
      <c r="Y265" s="80"/>
      <c r="Z265" s="80"/>
      <c r="AA265" s="70"/>
      <c r="AB265" s="70"/>
      <c r="AC265" s="80"/>
      <c r="AD265" s="70"/>
    </row>
    <row r="266" spans="1:30" s="82" customFormat="1" ht="125.25" customHeight="1">
      <c r="A266" s="70">
        <f t="shared" si="4"/>
        <v>263</v>
      </c>
      <c r="B266" s="57"/>
      <c r="C266" s="70"/>
      <c r="D266" s="70"/>
      <c r="E266" s="70"/>
      <c r="F266" s="70"/>
      <c r="G266" s="70"/>
      <c r="H266" s="70"/>
      <c r="I266" s="70"/>
      <c r="J266" s="70"/>
      <c r="K266" s="78"/>
      <c r="L266" s="70"/>
      <c r="M266" s="70"/>
      <c r="N266" s="70"/>
      <c r="O266" s="70"/>
      <c r="P266" s="70"/>
      <c r="Q266" s="70"/>
      <c r="R266" s="70"/>
      <c r="S266" s="70"/>
      <c r="T266" s="70"/>
      <c r="U266" s="70"/>
      <c r="V266" s="70"/>
      <c r="W266" s="70"/>
      <c r="X266" s="79"/>
      <c r="Y266" s="80"/>
      <c r="Z266" s="80"/>
      <c r="AA266" s="70"/>
      <c r="AB266" s="70"/>
      <c r="AC266" s="80"/>
      <c r="AD266" s="70"/>
    </row>
    <row r="267" spans="1:30" s="82" customFormat="1" ht="125.25" customHeight="1">
      <c r="A267" s="70">
        <f t="shared" si="4"/>
        <v>264</v>
      </c>
      <c r="B267" s="57"/>
      <c r="C267" s="70"/>
      <c r="D267" s="70"/>
      <c r="E267" s="70"/>
      <c r="F267" s="70"/>
      <c r="G267" s="70"/>
      <c r="H267" s="70"/>
      <c r="I267" s="70"/>
      <c r="J267" s="70"/>
      <c r="K267" s="78"/>
      <c r="L267" s="70"/>
      <c r="M267" s="70"/>
      <c r="N267" s="70"/>
      <c r="O267" s="70"/>
      <c r="P267" s="70"/>
      <c r="Q267" s="70"/>
      <c r="R267" s="70"/>
      <c r="S267" s="70"/>
      <c r="T267" s="70"/>
      <c r="U267" s="70"/>
      <c r="V267" s="70"/>
      <c r="W267" s="70"/>
      <c r="X267" s="79"/>
      <c r="Y267" s="80"/>
      <c r="Z267" s="80"/>
      <c r="AA267" s="70"/>
      <c r="AB267" s="70"/>
      <c r="AC267" s="80"/>
      <c r="AD267" s="70"/>
    </row>
    <row r="268" spans="1:30" s="82" customFormat="1" ht="125.25" customHeight="1">
      <c r="A268" s="70">
        <f t="shared" si="4"/>
        <v>265</v>
      </c>
      <c r="B268" s="57"/>
      <c r="C268" s="70"/>
      <c r="D268" s="70"/>
      <c r="E268" s="70"/>
      <c r="F268" s="70"/>
      <c r="G268" s="70"/>
      <c r="H268" s="70"/>
      <c r="I268" s="70"/>
      <c r="J268" s="70"/>
      <c r="K268" s="78"/>
      <c r="L268" s="70"/>
      <c r="M268" s="70"/>
      <c r="N268" s="70"/>
      <c r="O268" s="70"/>
      <c r="P268" s="70"/>
      <c r="Q268" s="70"/>
      <c r="R268" s="70"/>
      <c r="S268" s="70"/>
      <c r="T268" s="70"/>
      <c r="U268" s="70"/>
      <c r="V268" s="70"/>
      <c r="W268" s="70"/>
      <c r="X268" s="79"/>
      <c r="Y268" s="80"/>
      <c r="Z268" s="80"/>
      <c r="AA268" s="70"/>
      <c r="AB268" s="70"/>
      <c r="AC268" s="80"/>
      <c r="AD268" s="70"/>
    </row>
    <row r="269" spans="1:30" s="82" customFormat="1" ht="125.25" customHeight="1">
      <c r="A269" s="70">
        <f t="shared" si="4"/>
        <v>266</v>
      </c>
      <c r="B269" s="57"/>
      <c r="C269" s="70"/>
      <c r="D269" s="70"/>
      <c r="E269" s="70"/>
      <c r="F269" s="70"/>
      <c r="G269" s="70"/>
      <c r="H269" s="70"/>
      <c r="I269" s="70"/>
      <c r="J269" s="70"/>
      <c r="K269" s="78"/>
      <c r="L269" s="70"/>
      <c r="M269" s="70"/>
      <c r="N269" s="70"/>
      <c r="O269" s="70"/>
      <c r="P269" s="70"/>
      <c r="Q269" s="70"/>
      <c r="R269" s="70"/>
      <c r="S269" s="70"/>
      <c r="T269" s="70"/>
      <c r="U269" s="70"/>
      <c r="V269" s="70"/>
      <c r="W269" s="70"/>
      <c r="X269" s="79"/>
      <c r="Y269" s="80"/>
      <c r="Z269" s="80"/>
      <c r="AA269" s="70"/>
      <c r="AB269" s="70"/>
      <c r="AC269" s="80"/>
      <c r="AD269" s="70"/>
    </row>
    <row r="270" spans="1:30" s="82" customFormat="1" ht="125.25" customHeight="1">
      <c r="A270" s="70">
        <f t="shared" si="4"/>
        <v>267</v>
      </c>
      <c r="B270" s="57"/>
      <c r="C270" s="70"/>
      <c r="D270" s="70"/>
      <c r="E270" s="70"/>
      <c r="F270" s="70"/>
      <c r="G270" s="70"/>
      <c r="H270" s="70"/>
      <c r="I270" s="70"/>
      <c r="J270" s="70"/>
      <c r="K270" s="78"/>
      <c r="L270" s="70"/>
      <c r="M270" s="70"/>
      <c r="N270" s="70"/>
      <c r="O270" s="70"/>
      <c r="P270" s="70"/>
      <c r="Q270" s="70"/>
      <c r="R270" s="70"/>
      <c r="S270" s="70"/>
      <c r="T270" s="70"/>
      <c r="U270" s="70"/>
      <c r="V270" s="70"/>
      <c r="W270" s="70"/>
      <c r="X270" s="79"/>
      <c r="Y270" s="80"/>
      <c r="Z270" s="80"/>
      <c r="AA270" s="70"/>
      <c r="AB270" s="70"/>
      <c r="AC270" s="80"/>
      <c r="AD270" s="70"/>
    </row>
    <row r="271" spans="1:30" s="82" customFormat="1" ht="125.25" customHeight="1">
      <c r="A271" s="70">
        <f t="shared" si="4"/>
        <v>268</v>
      </c>
      <c r="B271" s="57"/>
      <c r="C271" s="70"/>
      <c r="D271" s="70"/>
      <c r="E271" s="70"/>
      <c r="F271" s="70"/>
      <c r="G271" s="70"/>
      <c r="H271" s="70"/>
      <c r="I271" s="70"/>
      <c r="J271" s="70"/>
      <c r="K271" s="78"/>
      <c r="L271" s="70"/>
      <c r="M271" s="70"/>
      <c r="N271" s="70"/>
      <c r="O271" s="70"/>
      <c r="P271" s="70"/>
      <c r="Q271" s="70"/>
      <c r="R271" s="70"/>
      <c r="S271" s="70"/>
      <c r="T271" s="70"/>
      <c r="U271" s="70"/>
      <c r="V271" s="70"/>
      <c r="W271" s="70"/>
      <c r="X271" s="79"/>
      <c r="Y271" s="80"/>
      <c r="Z271" s="80"/>
      <c r="AA271" s="70"/>
      <c r="AB271" s="70"/>
      <c r="AC271" s="80"/>
      <c r="AD271" s="70"/>
    </row>
    <row r="272" spans="1:30" s="82" customFormat="1" ht="125.25" customHeight="1">
      <c r="A272" s="70">
        <f t="shared" si="4"/>
        <v>269</v>
      </c>
      <c r="B272" s="57"/>
      <c r="C272" s="70"/>
      <c r="D272" s="70"/>
      <c r="E272" s="70"/>
      <c r="F272" s="70"/>
      <c r="G272" s="70"/>
      <c r="H272" s="70"/>
      <c r="I272" s="70"/>
      <c r="J272" s="70"/>
      <c r="K272" s="78"/>
      <c r="L272" s="70"/>
      <c r="M272" s="70"/>
      <c r="N272" s="70"/>
      <c r="O272" s="70"/>
      <c r="P272" s="70"/>
      <c r="Q272" s="70"/>
      <c r="R272" s="70"/>
      <c r="S272" s="70"/>
      <c r="T272" s="70"/>
      <c r="U272" s="70"/>
      <c r="V272" s="70"/>
      <c r="W272" s="70"/>
      <c r="X272" s="79"/>
      <c r="Y272" s="80"/>
      <c r="Z272" s="80"/>
      <c r="AA272" s="70"/>
      <c r="AB272" s="70"/>
      <c r="AC272" s="80"/>
      <c r="AD272" s="70"/>
    </row>
    <row r="273" spans="1:30" s="82" customFormat="1" ht="125.25" customHeight="1">
      <c r="A273" s="70">
        <f t="shared" si="4"/>
        <v>270</v>
      </c>
      <c r="B273" s="57"/>
      <c r="C273" s="70"/>
      <c r="D273" s="70"/>
      <c r="E273" s="70"/>
      <c r="F273" s="70"/>
      <c r="G273" s="70"/>
      <c r="H273" s="70"/>
      <c r="I273" s="70"/>
      <c r="J273" s="70"/>
      <c r="K273" s="78"/>
      <c r="L273" s="70"/>
      <c r="M273" s="70"/>
      <c r="N273" s="70"/>
      <c r="O273" s="70"/>
      <c r="P273" s="70"/>
      <c r="Q273" s="70"/>
      <c r="R273" s="70"/>
      <c r="S273" s="70"/>
      <c r="T273" s="70"/>
      <c r="U273" s="70"/>
      <c r="V273" s="70"/>
      <c r="W273" s="70"/>
      <c r="X273" s="79"/>
      <c r="Y273" s="80"/>
      <c r="Z273" s="80"/>
      <c r="AA273" s="70"/>
      <c r="AB273" s="70"/>
      <c r="AC273" s="80"/>
      <c r="AD273" s="70"/>
    </row>
    <row r="274" spans="1:30">
      <c r="A274" s="70">
        <f t="shared" si="4"/>
        <v>271</v>
      </c>
      <c r="B274" s="82"/>
    </row>
    <row r="275" spans="1:30">
      <c r="A275" s="70">
        <f t="shared" si="4"/>
        <v>272</v>
      </c>
      <c r="B275" s="82"/>
    </row>
    <row r="276" spans="1:30">
      <c r="A276" s="70">
        <f t="shared" si="4"/>
        <v>273</v>
      </c>
      <c r="B276" s="82"/>
    </row>
    <row r="277" spans="1:30">
      <c r="A277" s="70">
        <f t="shared" si="4"/>
        <v>274</v>
      </c>
      <c r="B277" s="82"/>
    </row>
    <row r="278" spans="1:30">
      <c r="A278" s="70">
        <f t="shared" si="4"/>
        <v>275</v>
      </c>
      <c r="B278" s="82"/>
    </row>
    <row r="279" spans="1:30">
      <c r="A279" s="70">
        <f t="shared" si="4"/>
        <v>276</v>
      </c>
      <c r="B279" s="82"/>
    </row>
    <row r="280" spans="1:30">
      <c r="A280" s="70">
        <f t="shared" si="4"/>
        <v>277</v>
      </c>
      <c r="B280" s="82"/>
    </row>
    <row r="281" spans="1:30">
      <c r="A281" s="70">
        <f t="shared" si="4"/>
        <v>278</v>
      </c>
      <c r="B281" s="82"/>
    </row>
    <row r="282" spans="1:30">
      <c r="A282" s="70">
        <f t="shared" si="4"/>
        <v>279</v>
      </c>
      <c r="B282" s="82"/>
    </row>
    <row r="283" spans="1:30">
      <c r="A283" s="70">
        <f t="shared" si="4"/>
        <v>280</v>
      </c>
      <c r="B283" s="82"/>
    </row>
    <row r="284" spans="1:30">
      <c r="A284" s="70">
        <f t="shared" si="4"/>
        <v>281</v>
      </c>
      <c r="B284" s="82"/>
    </row>
    <row r="285" spans="1:30">
      <c r="A285" s="70">
        <f t="shared" si="4"/>
        <v>282</v>
      </c>
      <c r="B285" s="82"/>
    </row>
    <row r="286" spans="1:30">
      <c r="A286" s="70">
        <f t="shared" si="4"/>
        <v>283</v>
      </c>
      <c r="B286" s="82"/>
    </row>
    <row r="287" spans="1:30">
      <c r="A287" s="70">
        <f t="shared" si="4"/>
        <v>284</v>
      </c>
      <c r="B287" s="82"/>
    </row>
    <row r="288" spans="1:30">
      <c r="A288" s="70">
        <f t="shared" si="4"/>
        <v>285</v>
      </c>
      <c r="B288" s="82"/>
    </row>
    <row r="289" spans="1:2">
      <c r="A289" s="70">
        <f t="shared" si="4"/>
        <v>286</v>
      </c>
      <c r="B289" s="82"/>
    </row>
    <row r="290" spans="1:2">
      <c r="A290" s="70">
        <f t="shared" si="4"/>
        <v>287</v>
      </c>
      <c r="B290" s="82"/>
    </row>
    <row r="291" spans="1:2">
      <c r="A291" s="70">
        <f t="shared" si="4"/>
        <v>288</v>
      </c>
      <c r="B291" s="82"/>
    </row>
    <row r="292" spans="1:2">
      <c r="A292" s="70">
        <f t="shared" si="4"/>
        <v>289</v>
      </c>
      <c r="B292" s="82"/>
    </row>
    <row r="293" spans="1:2">
      <c r="A293" s="70">
        <f t="shared" si="4"/>
        <v>290</v>
      </c>
      <c r="B293" s="82"/>
    </row>
    <row r="294" spans="1:2">
      <c r="A294" s="70">
        <f t="shared" si="4"/>
        <v>291</v>
      </c>
      <c r="B294" s="82"/>
    </row>
    <row r="295" spans="1:2">
      <c r="A295" s="70">
        <f t="shared" si="4"/>
        <v>292</v>
      </c>
      <c r="B295" s="82"/>
    </row>
    <row r="296" spans="1:2">
      <c r="A296" s="70">
        <f t="shared" si="4"/>
        <v>293</v>
      </c>
      <c r="B296" s="82"/>
    </row>
    <row r="297" spans="1:2">
      <c r="A297" s="70">
        <f t="shared" si="4"/>
        <v>294</v>
      </c>
      <c r="B297" s="82"/>
    </row>
    <row r="298" spans="1:2">
      <c r="A298" s="70">
        <f t="shared" si="4"/>
        <v>295</v>
      </c>
      <c r="B298" s="82"/>
    </row>
    <row r="299" spans="1:2">
      <c r="A299" s="70">
        <f t="shared" si="4"/>
        <v>296</v>
      </c>
      <c r="B299" s="82"/>
    </row>
    <row r="300" spans="1:2">
      <c r="A300" s="70">
        <f t="shared" si="4"/>
        <v>297</v>
      </c>
      <c r="B300" s="82"/>
    </row>
    <row r="301" spans="1:2">
      <c r="A301" s="70">
        <f t="shared" si="4"/>
        <v>298</v>
      </c>
      <c r="B301" s="82"/>
    </row>
    <row r="302" spans="1:2">
      <c r="A302" s="70">
        <f t="shared" si="4"/>
        <v>299</v>
      </c>
      <c r="B302" s="82"/>
    </row>
    <row r="303" spans="1:2">
      <c r="A303" s="70">
        <f t="shared" si="4"/>
        <v>300</v>
      </c>
      <c r="B303" s="82"/>
    </row>
    <row r="304" spans="1:2">
      <c r="A304" s="70">
        <f t="shared" si="4"/>
        <v>301</v>
      </c>
      <c r="B304" s="82"/>
    </row>
    <row r="305" spans="1:2">
      <c r="A305" s="70">
        <f t="shared" si="4"/>
        <v>302</v>
      </c>
      <c r="B305" s="82"/>
    </row>
    <row r="306" spans="1:2">
      <c r="A306" s="70">
        <f t="shared" si="4"/>
        <v>303</v>
      </c>
      <c r="B306" s="82"/>
    </row>
    <row r="307" spans="1:2">
      <c r="A307" s="70">
        <f t="shared" si="4"/>
        <v>304</v>
      </c>
      <c r="B307" s="82"/>
    </row>
    <row r="308" spans="1:2">
      <c r="A308" s="70">
        <f t="shared" si="4"/>
        <v>305</v>
      </c>
      <c r="B308" s="82"/>
    </row>
    <row r="309" spans="1:2">
      <c r="A309" s="70">
        <f t="shared" si="4"/>
        <v>306</v>
      </c>
      <c r="B309" s="82"/>
    </row>
    <row r="310" spans="1:2">
      <c r="A310" s="70">
        <f t="shared" si="4"/>
        <v>307</v>
      </c>
      <c r="B310" s="82"/>
    </row>
    <row r="311" spans="1:2">
      <c r="A311" s="70">
        <f t="shared" si="4"/>
        <v>308</v>
      </c>
      <c r="B311" s="82"/>
    </row>
    <row r="312" spans="1:2">
      <c r="A312" s="70">
        <f t="shared" si="4"/>
        <v>309</v>
      </c>
      <c r="B312" s="82"/>
    </row>
    <row r="313" spans="1:2">
      <c r="A313" s="70">
        <f t="shared" si="4"/>
        <v>310</v>
      </c>
      <c r="B313" s="82"/>
    </row>
    <row r="314" spans="1:2">
      <c r="A314" s="70">
        <f t="shared" si="4"/>
        <v>311</v>
      </c>
      <c r="B314" s="82"/>
    </row>
    <row r="315" spans="1:2">
      <c r="A315" s="70">
        <f t="shared" si="4"/>
        <v>312</v>
      </c>
      <c r="B315" s="82"/>
    </row>
    <row r="316" spans="1:2">
      <c r="A316" s="70">
        <f t="shared" si="4"/>
        <v>313</v>
      </c>
      <c r="B316" s="82"/>
    </row>
    <row r="317" spans="1:2">
      <c r="A317" s="70">
        <f t="shared" si="4"/>
        <v>314</v>
      </c>
      <c r="B317" s="82"/>
    </row>
    <row r="318" spans="1:2">
      <c r="A318" s="70">
        <f t="shared" si="4"/>
        <v>315</v>
      </c>
      <c r="B318" s="82"/>
    </row>
    <row r="319" spans="1:2">
      <c r="A319" s="70">
        <f t="shared" si="4"/>
        <v>316</v>
      </c>
      <c r="B319" s="82"/>
    </row>
  </sheetData>
  <autoFilter ref="A3:AD319" xr:uid="{9B0A971A-ABD8-7343-B20D-B48528A25D6D}"/>
  <mergeCells count="5">
    <mergeCell ref="T2:X2"/>
    <mergeCell ref="C2:D2"/>
    <mergeCell ref="E2:E3"/>
    <mergeCell ref="C1:D1"/>
    <mergeCell ref="O2:P2"/>
  </mergeCells>
  <phoneticPr fontId="1" type="noConversion"/>
  <hyperlinks>
    <hyperlink ref="W6" r:id="rId1" xr:uid="{C89CFBBC-F0B3-4C38-8E30-2BD7BEEF6B2B}"/>
    <hyperlink ref="V6" r:id="rId2" xr:uid="{E3F2BBA3-3977-4A01-BD2C-3072AD8935CF}"/>
    <hyperlink ref="V7" r:id="rId3" xr:uid="{430CEFA4-3765-46A5-AC6F-DA375A4FD55C}"/>
    <hyperlink ref="W7" r:id="rId4" xr:uid="{E2DDE3C8-37E4-4702-A961-311862E09987}"/>
    <hyperlink ref="V8" r:id="rId5" xr:uid="{3C177F90-8476-411E-8A1E-B56A189F7D62}"/>
    <hyperlink ref="W9" r:id="rId6" xr:uid="{E261F1DF-94AE-4A4E-ACF6-2794EE57634A}"/>
    <hyperlink ref="V10" r:id="rId7" xr:uid="{4B452956-ED0A-42F6-9C35-BE8BC3EDE17B}"/>
    <hyperlink ref="W10" r:id="rId8" xr:uid="{7BF40C4E-702B-438A-AEAC-B0A9F40A57A7}"/>
    <hyperlink ref="V11" r:id="rId9" xr:uid="{EE21437D-7B56-4188-B35F-1D676444B0C2}"/>
    <hyperlink ref="W11" r:id="rId10" xr:uid="{B5C25977-EC70-4D86-B316-977CB23FFA4E}"/>
    <hyperlink ref="W17" r:id="rId11" xr:uid="{65619748-FB17-41A8-B7F8-92541FD1594A}"/>
    <hyperlink ref="V31" r:id="rId12" xr:uid="{A73D43E6-3CC5-407C-A6E8-CA1D905ACBEF}"/>
    <hyperlink ref="W31" r:id="rId13" xr:uid="{FF98745C-F1D4-41BC-814F-9319E25DC7B1}"/>
    <hyperlink ref="W40" r:id="rId14" xr:uid="{6719E8DA-ECD2-4476-91C7-C5D75F109255}"/>
    <hyperlink ref="W42" r:id="rId15" xr:uid="{5D8A9D5B-3053-47FE-A377-614400ADBD31}"/>
    <hyperlink ref="W43" r:id="rId16" xr:uid="{4E7EA5C2-541B-4AAE-9D4D-8278CB7E73C3}"/>
    <hyperlink ref="V43" r:id="rId17" xr:uid="{6B91E332-2CE8-4295-A2E8-EBDD522FF2BE}"/>
    <hyperlink ref="V54" r:id="rId18" xr:uid="{DA3FB3CE-2A57-4788-8F52-0C5DB5FD1941}"/>
    <hyperlink ref="W54" r:id="rId19" xr:uid="{8FA468A2-7872-462C-ADF5-35F04B0DB208}"/>
  </hyperlinks>
  <pageMargins left="0.7" right="0.7" top="0.75" bottom="0.75" header="0.3" footer="0.3"/>
  <pageSetup paperSize="9" orientation="portrait" r:id="rId20"/>
  <legacyDrawing r:id="rId21"/>
  <extLst>
    <ext xmlns:x14="http://schemas.microsoft.com/office/spreadsheetml/2009/9/main" uri="{CCE6A557-97BC-4b89-ADB6-D9C93CAAB3DF}">
      <x14:dataValidations xmlns:xm="http://schemas.microsoft.com/office/excel/2006/main" count="6">
        <x14:dataValidation type="list" allowBlank="1" showInputMessage="1" showErrorMessage="1" xr:uid="{D7A7C46A-BF92-5D47-8CAC-38AF64043EDE}">
          <x14:formula1>
            <xm:f>列选信息说明!$G$55:$G$59</xm:f>
          </x14:formula1>
          <xm:sqref>N49:P49 O4:P48 O50:P1048576</xm:sqref>
        </x14:dataValidation>
        <x14:dataValidation type="list" allowBlank="1" showInputMessage="1" showErrorMessage="1" xr:uid="{859E1AAD-3180-0B40-9240-B4E912798B77}">
          <x14:formula1>
            <xm:f>列选信息说明!$B$1:$G$1</xm:f>
          </x14:formula1>
          <xm:sqref>F4:F1048576</xm:sqref>
        </x14:dataValidation>
        <x14:dataValidation type="list" allowBlank="1" showInputMessage="1" showErrorMessage="1" xr:uid="{A32D303A-E8A2-4640-9175-5984F65DA9A3}">
          <x14:formula1>
            <xm:f>列选信息说明!$A$55:$A$57</xm:f>
          </x14:formula1>
          <xm:sqref>I4:I1048576</xm:sqref>
        </x14:dataValidation>
        <x14:dataValidation type="list" allowBlank="1" showInputMessage="1" showErrorMessage="1" xr:uid="{C18B42EB-2969-5349-9E7F-C39833A0748E}">
          <x14:formula1>
            <xm:f>列选信息说明!$E$55:$E$63</xm:f>
          </x14:formula1>
          <xm:sqref>N4:N1048576</xm:sqref>
        </x14:dataValidation>
        <x14:dataValidation type="list" allowBlank="1" showInputMessage="1" showErrorMessage="1" xr:uid="{A862E6ED-CBAC-024C-8FF0-3367DE1E657D}">
          <x14:formula1>
            <xm:f>列选信息说明!$I$55:$I$58</xm:f>
          </x14:formula1>
          <xm:sqref>AB4:AB1048576</xm:sqref>
        </x14:dataValidation>
        <x14:dataValidation type="list" allowBlank="1" showInputMessage="1" showErrorMessage="1" xr:uid="{2C05411D-C442-764F-92E2-0DEDA031DD13}">
          <x14:formula1>
            <xm:f>列选信息说明!$C$55:$C$64</xm:f>
          </x14:formula1>
          <xm:sqref>Q4:S1048576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31D0-2937-42B6-97A1-FBDC5FB3AB45}">
  <dimension ref="A1:AB32"/>
  <sheetViews>
    <sheetView workbookViewId="0">
      <selection activeCell="H22" sqref="H22"/>
    </sheetView>
  </sheetViews>
  <sheetFormatPr defaultRowHeight="14.25"/>
  <cols>
    <col min="1" max="1" width="3.5" style="85" bestFit="1" customWidth="1"/>
    <col min="2" max="2" width="20.5" bestFit="1" customWidth="1"/>
    <col min="3" max="3" width="14.125" bestFit="1" customWidth="1"/>
    <col min="4" max="4" width="16.375" bestFit="1" customWidth="1"/>
    <col min="5" max="5" width="7.75" bestFit="1" customWidth="1"/>
    <col min="6" max="6" width="6.875" bestFit="1" customWidth="1"/>
    <col min="7" max="7" width="10.75" bestFit="1" customWidth="1"/>
    <col min="8" max="8" width="20.75" customWidth="1"/>
    <col min="9" max="9" width="5.75" bestFit="1" customWidth="1"/>
    <col min="10" max="10" width="7.75" bestFit="1" customWidth="1"/>
    <col min="11" max="11" width="47.375" bestFit="1" customWidth="1"/>
    <col min="12" max="13" width="9.75" bestFit="1" customWidth="1"/>
    <col min="14" max="14" width="25.25" bestFit="1" customWidth="1"/>
    <col min="15" max="16" width="13.75" customWidth="1"/>
    <col min="17" max="19" width="16.125" customWidth="1"/>
    <col min="20" max="20" width="7.125" customWidth="1"/>
    <col min="21" max="21" width="11.875" bestFit="1" customWidth="1"/>
    <col min="22" max="24" width="13.875" customWidth="1"/>
    <col min="25" max="25" width="17.5" bestFit="1" customWidth="1"/>
    <col min="26" max="26" width="27.5" bestFit="1" customWidth="1"/>
    <col min="27" max="27" width="29.625" bestFit="1" customWidth="1"/>
    <col min="28" max="28" width="21.5" customWidth="1"/>
  </cols>
  <sheetData>
    <row r="1" spans="1:28" s="48" customFormat="1" ht="18">
      <c r="B1" s="49" t="s">
        <v>2887</v>
      </c>
      <c r="C1" s="94" t="s">
        <v>1528</v>
      </c>
      <c r="D1" s="94"/>
      <c r="E1" s="81"/>
      <c r="G1" s="50"/>
      <c r="H1" s="50"/>
      <c r="I1" s="50"/>
      <c r="J1" s="50"/>
      <c r="K1" s="51"/>
      <c r="L1" s="50"/>
      <c r="M1" s="52"/>
      <c r="N1" s="53"/>
      <c r="O1" s="50"/>
      <c r="P1" s="50"/>
      <c r="Q1" s="50"/>
      <c r="R1" s="50"/>
      <c r="S1" s="50"/>
      <c r="T1" s="50"/>
      <c r="U1" s="50"/>
      <c r="V1" s="50"/>
      <c r="W1" s="50"/>
      <c r="X1" s="54"/>
      <c r="Y1" s="55"/>
      <c r="Z1" s="56"/>
      <c r="AA1" s="56"/>
    </row>
    <row r="2" spans="1:28" s="48" customFormat="1" ht="45.75" customHeight="1">
      <c r="B2" s="57" t="s">
        <v>1529</v>
      </c>
      <c r="C2" s="93" t="s">
        <v>1529</v>
      </c>
      <c r="D2" s="93"/>
      <c r="E2" s="93" t="s">
        <v>1530</v>
      </c>
      <c r="F2" s="99" t="s">
        <v>1531</v>
      </c>
      <c r="G2" s="99"/>
      <c r="H2" s="99"/>
      <c r="I2" s="99" t="s">
        <v>1532</v>
      </c>
      <c r="J2" s="99"/>
      <c r="K2" s="100" t="s">
        <v>1533</v>
      </c>
      <c r="L2" s="101"/>
      <c r="M2" s="102"/>
      <c r="N2" s="60" t="s">
        <v>1534</v>
      </c>
      <c r="O2" s="95" t="s">
        <v>1535</v>
      </c>
      <c r="P2" s="96"/>
      <c r="Q2" s="97" t="s">
        <v>1536</v>
      </c>
      <c r="R2" s="97"/>
      <c r="S2" s="97"/>
      <c r="T2" s="92" t="s">
        <v>1537</v>
      </c>
      <c r="U2" s="92"/>
      <c r="V2" s="92"/>
      <c r="W2" s="92"/>
      <c r="X2" s="92"/>
      <c r="Y2" s="98" t="s">
        <v>5</v>
      </c>
      <c r="Z2" s="98"/>
      <c r="AA2" s="98"/>
      <c r="AB2" s="98"/>
    </row>
    <row r="3" spans="1:28" s="48" customFormat="1" ht="45.75" customHeight="1">
      <c r="B3" s="64" t="s">
        <v>1538</v>
      </c>
      <c r="C3" s="64" t="s">
        <v>1539</v>
      </c>
      <c r="D3" s="64" t="s">
        <v>1540</v>
      </c>
      <c r="E3" s="93"/>
      <c r="F3" s="65" t="s">
        <v>1541</v>
      </c>
      <c r="G3" s="65" t="s">
        <v>1542</v>
      </c>
      <c r="H3" s="65" t="s">
        <v>1543</v>
      </c>
      <c r="I3" s="58" t="s">
        <v>1544</v>
      </c>
      <c r="J3" s="58" t="s">
        <v>1545</v>
      </c>
      <c r="K3" s="59" t="s">
        <v>1546</v>
      </c>
      <c r="L3" s="65" t="s">
        <v>1547</v>
      </c>
      <c r="M3" s="65" t="s">
        <v>1548</v>
      </c>
      <c r="N3" s="61" t="s">
        <v>1549</v>
      </c>
      <c r="O3" s="66" t="s">
        <v>1550</v>
      </c>
      <c r="P3" s="61" t="s">
        <v>1551</v>
      </c>
      <c r="Q3" s="67" t="s">
        <v>1552</v>
      </c>
      <c r="R3" s="67" t="s">
        <v>1553</v>
      </c>
      <c r="S3" s="67" t="s">
        <v>1554</v>
      </c>
      <c r="T3" s="62" t="s">
        <v>1555</v>
      </c>
      <c r="U3" s="62" t="s">
        <v>1556</v>
      </c>
      <c r="V3" s="62" t="s">
        <v>1557</v>
      </c>
      <c r="W3" s="62" t="s">
        <v>1558</v>
      </c>
      <c r="X3" s="68" t="s">
        <v>1559</v>
      </c>
      <c r="Y3" s="69" t="s">
        <v>1560</v>
      </c>
      <c r="Z3" s="69" t="s">
        <v>1561</v>
      </c>
      <c r="AA3" s="69" t="s">
        <v>1562</v>
      </c>
      <c r="AB3" s="63" t="s">
        <v>1565</v>
      </c>
    </row>
    <row r="4" spans="1:28" s="82" customFormat="1" ht="120.75">
      <c r="A4" s="70">
        <f>ROW()-3</f>
        <v>1</v>
      </c>
      <c r="B4" s="57" t="s">
        <v>2905</v>
      </c>
      <c r="C4" s="70" t="s">
        <v>2906</v>
      </c>
      <c r="D4" s="70" t="s">
        <v>2907</v>
      </c>
      <c r="E4" s="70">
        <v>2019</v>
      </c>
      <c r="F4" s="70" t="s">
        <v>7</v>
      </c>
      <c r="G4" s="70" t="s">
        <v>2908</v>
      </c>
      <c r="H4" s="70" t="s">
        <v>2909</v>
      </c>
      <c r="I4" s="70" t="s">
        <v>842</v>
      </c>
      <c r="J4" s="70" t="s">
        <v>630</v>
      </c>
      <c r="K4" s="78" t="s">
        <v>2910</v>
      </c>
      <c r="L4" s="70" t="s">
        <v>2908</v>
      </c>
      <c r="M4" s="70" t="s">
        <v>2911</v>
      </c>
      <c r="N4" s="70" t="s">
        <v>2912</v>
      </c>
      <c r="O4" s="70" t="s">
        <v>2913</v>
      </c>
      <c r="P4" s="70" t="s">
        <v>2914</v>
      </c>
      <c r="Q4" s="70" t="s">
        <v>2915</v>
      </c>
      <c r="R4" s="70" t="s">
        <v>2916</v>
      </c>
      <c r="S4" s="70" t="s">
        <v>2917</v>
      </c>
      <c r="T4" s="70" t="s">
        <v>2918</v>
      </c>
      <c r="U4" s="70" t="s">
        <v>2919</v>
      </c>
      <c r="V4" s="70" t="s">
        <v>2920</v>
      </c>
      <c r="W4" s="70" t="s">
        <v>2921</v>
      </c>
      <c r="X4" s="79"/>
      <c r="Y4" s="80" t="s">
        <v>2555</v>
      </c>
      <c r="Z4" s="80" t="s">
        <v>2922</v>
      </c>
      <c r="AA4" s="70" t="s">
        <v>2923</v>
      </c>
      <c r="AB4" s="70" t="s">
        <v>2924</v>
      </c>
    </row>
    <row r="5" spans="1:28">
      <c r="A5" s="85">
        <f t="shared" ref="A5:A32" si="0">ROW()-3</f>
        <v>2</v>
      </c>
    </row>
    <row r="6" spans="1:28">
      <c r="A6" s="85">
        <f t="shared" si="0"/>
        <v>3</v>
      </c>
    </row>
    <row r="7" spans="1:28">
      <c r="A7" s="85">
        <f t="shared" si="0"/>
        <v>4</v>
      </c>
    </row>
    <row r="8" spans="1:28">
      <c r="A8" s="85">
        <f t="shared" si="0"/>
        <v>5</v>
      </c>
    </row>
    <row r="9" spans="1:28">
      <c r="A9" s="85">
        <f t="shared" si="0"/>
        <v>6</v>
      </c>
    </row>
    <row r="10" spans="1:28">
      <c r="A10" s="85">
        <f t="shared" si="0"/>
        <v>7</v>
      </c>
    </row>
    <row r="11" spans="1:28">
      <c r="A11" s="85">
        <f t="shared" si="0"/>
        <v>8</v>
      </c>
    </row>
    <row r="12" spans="1:28">
      <c r="A12" s="85">
        <f t="shared" si="0"/>
        <v>9</v>
      </c>
    </row>
    <row r="13" spans="1:28">
      <c r="A13" s="85">
        <f t="shared" si="0"/>
        <v>10</v>
      </c>
    </row>
    <row r="14" spans="1:28">
      <c r="A14" s="85">
        <f t="shared" si="0"/>
        <v>11</v>
      </c>
    </row>
    <row r="15" spans="1:28">
      <c r="A15" s="85">
        <f t="shared" si="0"/>
        <v>12</v>
      </c>
    </row>
    <row r="16" spans="1:28">
      <c r="A16" s="85">
        <f t="shared" si="0"/>
        <v>13</v>
      </c>
    </row>
    <row r="17" spans="1:1">
      <c r="A17" s="85">
        <f t="shared" si="0"/>
        <v>14</v>
      </c>
    </row>
    <row r="18" spans="1:1">
      <c r="A18" s="85">
        <f t="shared" si="0"/>
        <v>15</v>
      </c>
    </row>
    <row r="19" spans="1:1">
      <c r="A19" s="85">
        <f t="shared" si="0"/>
        <v>16</v>
      </c>
    </row>
    <row r="20" spans="1:1">
      <c r="A20" s="85">
        <f t="shared" si="0"/>
        <v>17</v>
      </c>
    </row>
    <row r="21" spans="1:1">
      <c r="A21" s="85">
        <f t="shared" si="0"/>
        <v>18</v>
      </c>
    </row>
    <row r="22" spans="1:1">
      <c r="A22" s="85">
        <f t="shared" si="0"/>
        <v>19</v>
      </c>
    </row>
    <row r="23" spans="1:1">
      <c r="A23" s="85">
        <f t="shared" si="0"/>
        <v>20</v>
      </c>
    </row>
    <row r="24" spans="1:1">
      <c r="A24" s="85">
        <f t="shared" si="0"/>
        <v>21</v>
      </c>
    </row>
    <row r="25" spans="1:1">
      <c r="A25" s="85">
        <f t="shared" si="0"/>
        <v>22</v>
      </c>
    </row>
    <row r="26" spans="1:1">
      <c r="A26" s="85">
        <f t="shared" si="0"/>
        <v>23</v>
      </c>
    </row>
    <row r="27" spans="1:1">
      <c r="A27" s="85">
        <f t="shared" si="0"/>
        <v>24</v>
      </c>
    </row>
    <row r="28" spans="1:1">
      <c r="A28" s="85">
        <f t="shared" si="0"/>
        <v>25</v>
      </c>
    </row>
    <row r="29" spans="1:1">
      <c r="A29" s="85">
        <f t="shared" si="0"/>
        <v>26</v>
      </c>
    </row>
    <row r="30" spans="1:1">
      <c r="A30" s="85">
        <f t="shared" si="0"/>
        <v>27</v>
      </c>
    </row>
    <row r="31" spans="1:1">
      <c r="A31" s="85">
        <f t="shared" si="0"/>
        <v>28</v>
      </c>
    </row>
    <row r="32" spans="1:1">
      <c r="A32" s="85">
        <f t="shared" si="0"/>
        <v>29</v>
      </c>
    </row>
  </sheetData>
  <mergeCells count="10">
    <mergeCell ref="O2:P2"/>
    <mergeCell ref="Q2:S2"/>
    <mergeCell ref="T2:X2"/>
    <mergeCell ref="Y2:AB2"/>
    <mergeCell ref="C1:D1"/>
    <mergeCell ref="C2:D2"/>
    <mergeCell ref="E2:E3"/>
    <mergeCell ref="F2:H2"/>
    <mergeCell ref="I2:J2"/>
    <mergeCell ref="K2:M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A350-B92C-434D-8781-E46DBAB577AE}">
  <dimension ref="A1:C219"/>
  <sheetViews>
    <sheetView topLeftCell="A187" zoomScale="85" zoomScaleNormal="85" workbookViewId="0">
      <selection activeCell="H29" sqref="H29"/>
    </sheetView>
  </sheetViews>
  <sheetFormatPr defaultRowHeight="14.25"/>
  <cols>
    <col min="1" max="1" width="69.5" bestFit="1" customWidth="1"/>
    <col min="2" max="2" width="11.375" bestFit="1" customWidth="1"/>
    <col min="3" max="3" width="18.25" bestFit="1" customWidth="1"/>
    <col min="5" max="5" width="18.125" bestFit="1" customWidth="1"/>
  </cols>
  <sheetData>
    <row r="1" spans="1:3" ht="18">
      <c r="A1" s="35" t="s">
        <v>1295</v>
      </c>
      <c r="B1" s="35" t="s">
        <v>1296</v>
      </c>
      <c r="C1" s="36"/>
    </row>
    <row r="2" spans="1:3" ht="18">
      <c r="A2" s="37" t="s">
        <v>1297</v>
      </c>
      <c r="B2" s="38" t="s">
        <v>1298</v>
      </c>
      <c r="C2" s="36"/>
    </row>
    <row r="3" spans="1:3" ht="18">
      <c r="A3" s="37" t="s">
        <v>1299</v>
      </c>
      <c r="B3" s="38" t="s">
        <v>1298</v>
      </c>
      <c r="C3" s="36"/>
    </row>
    <row r="4" spans="1:3" ht="18">
      <c r="A4" s="37" t="s">
        <v>1300</v>
      </c>
      <c r="B4" s="38" t="s">
        <v>1298</v>
      </c>
      <c r="C4" s="36"/>
    </row>
    <row r="5" spans="1:3" ht="18">
      <c r="A5" s="39" t="s">
        <v>1301</v>
      </c>
      <c r="B5" s="38" t="s">
        <v>1298</v>
      </c>
      <c r="C5" s="36"/>
    </row>
    <row r="6" spans="1:3" ht="18">
      <c r="A6" s="37" t="s">
        <v>1302</v>
      </c>
      <c r="B6" s="38" t="s">
        <v>1298</v>
      </c>
      <c r="C6" s="36"/>
    </row>
    <row r="7" spans="1:3" ht="36">
      <c r="A7" s="37" t="s">
        <v>1303</v>
      </c>
      <c r="B7" s="38" t="s">
        <v>1298</v>
      </c>
      <c r="C7" s="36"/>
    </row>
    <row r="8" spans="1:3" ht="18">
      <c r="A8" s="39" t="s">
        <v>4</v>
      </c>
      <c r="B8" s="38" t="s">
        <v>1298</v>
      </c>
      <c r="C8" s="36"/>
    </row>
    <row r="9" spans="1:3" ht="18">
      <c r="A9" s="37" t="s">
        <v>1304</v>
      </c>
      <c r="B9" s="38" t="s">
        <v>1298</v>
      </c>
      <c r="C9" s="36"/>
    </row>
    <row r="10" spans="1:3" ht="18">
      <c r="A10" s="39" t="s">
        <v>1305</v>
      </c>
      <c r="B10" s="38" t="s">
        <v>1298</v>
      </c>
      <c r="C10" s="36"/>
    </row>
    <row r="11" spans="1:3" ht="36">
      <c r="A11" s="37" t="s">
        <v>1306</v>
      </c>
      <c r="B11" s="38" t="s">
        <v>1298</v>
      </c>
      <c r="C11" s="36"/>
    </row>
    <row r="12" spans="1:3" ht="36">
      <c r="A12" s="37" t="s">
        <v>1307</v>
      </c>
      <c r="B12" s="38" t="s">
        <v>1298</v>
      </c>
      <c r="C12" s="36"/>
    </row>
    <row r="13" spans="1:3" ht="18">
      <c r="A13" s="37" t="s">
        <v>1308</v>
      </c>
      <c r="B13" s="38" t="s">
        <v>1298</v>
      </c>
      <c r="C13" s="36"/>
    </row>
    <row r="14" spans="1:3" ht="18">
      <c r="A14" s="37" t="s">
        <v>1309</v>
      </c>
      <c r="B14" s="38" t="s">
        <v>1298</v>
      </c>
      <c r="C14" s="36"/>
    </row>
    <row r="15" spans="1:3" ht="18">
      <c r="A15" s="37" t="s">
        <v>1310</v>
      </c>
      <c r="B15" s="38" t="s">
        <v>1298</v>
      </c>
      <c r="C15" s="36"/>
    </row>
    <row r="16" spans="1:3" ht="18">
      <c r="A16" s="39" t="s">
        <v>1311</v>
      </c>
      <c r="B16" s="38" t="s">
        <v>1298</v>
      </c>
      <c r="C16" s="36"/>
    </row>
    <row r="17" spans="1:3" ht="18">
      <c r="A17" s="37" t="s">
        <v>1312</v>
      </c>
      <c r="B17" s="38" t="s">
        <v>1298</v>
      </c>
      <c r="C17" s="36"/>
    </row>
    <row r="18" spans="1:3" ht="18">
      <c r="A18" s="37" t="s">
        <v>1313</v>
      </c>
      <c r="B18" s="38" t="s">
        <v>1298</v>
      </c>
      <c r="C18" s="36"/>
    </row>
    <row r="19" spans="1:3" ht="18">
      <c r="A19" s="37" t="s">
        <v>1314</v>
      </c>
      <c r="B19" s="38" t="s">
        <v>1298</v>
      </c>
      <c r="C19" s="36"/>
    </row>
    <row r="20" spans="1:3" ht="18">
      <c r="A20" s="37" t="s">
        <v>1315</v>
      </c>
      <c r="B20" s="38" t="s">
        <v>1298</v>
      </c>
      <c r="C20" s="36"/>
    </row>
    <row r="21" spans="1:3" ht="18">
      <c r="A21" s="37" t="s">
        <v>1316</v>
      </c>
      <c r="B21" s="38" t="s">
        <v>1298</v>
      </c>
      <c r="C21" s="36"/>
    </row>
    <row r="22" spans="1:3" ht="18">
      <c r="A22" s="40" t="s">
        <v>1317</v>
      </c>
      <c r="B22" s="41" t="s">
        <v>1318</v>
      </c>
      <c r="C22" s="36"/>
    </row>
    <row r="23" spans="1:3" ht="18">
      <c r="A23" s="39" t="s">
        <v>1319</v>
      </c>
      <c r="B23" s="38" t="s">
        <v>1298</v>
      </c>
      <c r="C23" s="36"/>
    </row>
    <row r="24" spans="1:3" ht="18">
      <c r="A24" s="37" t="s">
        <v>1320</v>
      </c>
      <c r="B24" s="38" t="s">
        <v>1298</v>
      </c>
      <c r="C24" s="36"/>
    </row>
    <row r="25" spans="1:3" ht="18">
      <c r="A25" s="37" t="s">
        <v>1321</v>
      </c>
      <c r="B25" s="38" t="s">
        <v>1298</v>
      </c>
      <c r="C25" s="36"/>
    </row>
    <row r="26" spans="1:3" ht="18">
      <c r="A26" s="37" t="s">
        <v>1322</v>
      </c>
      <c r="B26" s="38" t="s">
        <v>1298</v>
      </c>
      <c r="C26" s="36"/>
    </row>
    <row r="27" spans="1:3" ht="18">
      <c r="A27" s="37" t="s">
        <v>1323</v>
      </c>
      <c r="B27" s="38" t="s">
        <v>1298</v>
      </c>
      <c r="C27" s="36"/>
    </row>
    <row r="28" spans="1:3" ht="18">
      <c r="A28" s="37" t="s">
        <v>1324</v>
      </c>
      <c r="B28" s="38" t="s">
        <v>1298</v>
      </c>
      <c r="C28" s="36"/>
    </row>
    <row r="29" spans="1:3" ht="18">
      <c r="A29" s="37" t="s">
        <v>1325</v>
      </c>
      <c r="B29" s="38" t="s">
        <v>1298</v>
      </c>
      <c r="C29" s="36"/>
    </row>
    <row r="30" spans="1:3" ht="18">
      <c r="A30" s="37" t="s">
        <v>1326</v>
      </c>
      <c r="B30" s="38" t="s">
        <v>1298</v>
      </c>
      <c r="C30" s="36"/>
    </row>
    <row r="31" spans="1:3" ht="18">
      <c r="A31" s="37" t="s">
        <v>1327</v>
      </c>
      <c r="B31" s="38" t="s">
        <v>1298</v>
      </c>
      <c r="C31" s="36"/>
    </row>
    <row r="32" spans="1:3" ht="18">
      <c r="A32" s="35" t="s">
        <v>1328</v>
      </c>
      <c r="B32" s="35" t="s">
        <v>1296</v>
      </c>
      <c r="C32" s="36"/>
    </row>
    <row r="33" spans="1:3" ht="18">
      <c r="A33" s="37" t="s">
        <v>1329</v>
      </c>
      <c r="B33" s="38" t="s">
        <v>1298</v>
      </c>
      <c r="C33" s="36"/>
    </row>
    <row r="34" spans="1:3" ht="18">
      <c r="A34" s="37" t="s">
        <v>1330</v>
      </c>
      <c r="B34" s="38" t="s">
        <v>1298</v>
      </c>
      <c r="C34" s="36"/>
    </row>
    <row r="35" spans="1:3" ht="18">
      <c r="A35" s="37" t="s">
        <v>1331</v>
      </c>
      <c r="B35" s="38" t="s">
        <v>1298</v>
      </c>
      <c r="C35" s="36"/>
    </row>
    <row r="36" spans="1:3" ht="18">
      <c r="A36" s="42" t="s">
        <v>1332</v>
      </c>
      <c r="B36" s="41" t="s">
        <v>1318</v>
      </c>
      <c r="C36" s="36"/>
    </row>
    <row r="37" spans="1:3" ht="18">
      <c r="A37" s="37" t="s">
        <v>1333</v>
      </c>
      <c r="B37" s="38" t="s">
        <v>1298</v>
      </c>
      <c r="C37" s="36"/>
    </row>
    <row r="38" spans="1:3" ht="18">
      <c r="A38" s="37" t="s">
        <v>1334</v>
      </c>
      <c r="B38" s="38" t="s">
        <v>1298</v>
      </c>
      <c r="C38" s="36"/>
    </row>
    <row r="39" spans="1:3" ht="18">
      <c r="A39" s="39" t="s">
        <v>1335</v>
      </c>
      <c r="B39" s="38" t="s">
        <v>1298</v>
      </c>
      <c r="C39" s="36"/>
    </row>
    <row r="40" spans="1:3" ht="18">
      <c r="A40" s="37" t="s">
        <v>1336</v>
      </c>
      <c r="B40" s="38" t="s">
        <v>1298</v>
      </c>
      <c r="C40" s="36"/>
    </row>
    <row r="41" spans="1:3" ht="18">
      <c r="A41" s="39" t="s">
        <v>1337</v>
      </c>
      <c r="B41" s="38" t="s">
        <v>1298</v>
      </c>
      <c r="C41" s="36"/>
    </row>
    <row r="42" spans="1:3" ht="18">
      <c r="A42" s="37" t="s">
        <v>1338</v>
      </c>
      <c r="B42" s="38" t="s">
        <v>1298</v>
      </c>
      <c r="C42" s="36"/>
    </row>
    <row r="43" spans="1:3" ht="36">
      <c r="A43" s="37" t="s">
        <v>1339</v>
      </c>
      <c r="B43" s="38" t="s">
        <v>1298</v>
      </c>
      <c r="C43" s="36"/>
    </row>
    <row r="44" spans="1:3" ht="18">
      <c r="A44" s="37" t="s">
        <v>1340</v>
      </c>
      <c r="B44" s="38" t="s">
        <v>1298</v>
      </c>
      <c r="C44" s="36"/>
    </row>
    <row r="45" spans="1:3" ht="18">
      <c r="A45" s="37" t="s">
        <v>1341</v>
      </c>
      <c r="B45" s="41" t="s">
        <v>1318</v>
      </c>
      <c r="C45" s="36"/>
    </row>
    <row r="46" spans="1:3" ht="18">
      <c r="A46" s="37" t="s">
        <v>1342</v>
      </c>
      <c r="B46" s="38" t="s">
        <v>1298</v>
      </c>
      <c r="C46" s="36"/>
    </row>
    <row r="47" spans="1:3" ht="18">
      <c r="A47" s="39" t="s">
        <v>1343</v>
      </c>
      <c r="B47" s="38" t="s">
        <v>1298</v>
      </c>
      <c r="C47" s="36"/>
    </row>
    <row r="48" spans="1:3" ht="18">
      <c r="A48" s="37" t="s">
        <v>1344</v>
      </c>
      <c r="B48" s="38" t="s">
        <v>1298</v>
      </c>
      <c r="C48" s="36"/>
    </row>
    <row r="49" spans="1:3" ht="18">
      <c r="A49" s="37" t="s">
        <v>1345</v>
      </c>
      <c r="B49" s="41" t="s">
        <v>1318</v>
      </c>
      <c r="C49" s="36"/>
    </row>
    <row r="50" spans="1:3" ht="39.75">
      <c r="A50" s="37" t="s">
        <v>1346</v>
      </c>
      <c r="B50" s="43" t="s">
        <v>1347</v>
      </c>
      <c r="C50" s="36"/>
    </row>
    <row r="51" spans="1:3" ht="18">
      <c r="A51" s="37" t="s">
        <v>1348</v>
      </c>
      <c r="B51" s="38" t="s">
        <v>1298</v>
      </c>
      <c r="C51" s="36"/>
    </row>
    <row r="52" spans="1:3" ht="18">
      <c r="A52" s="37" t="s">
        <v>1349</v>
      </c>
      <c r="B52" s="41" t="s">
        <v>1318</v>
      </c>
      <c r="C52" s="36"/>
    </row>
    <row r="53" spans="1:3" ht="18">
      <c r="A53" s="37" t="s">
        <v>1350</v>
      </c>
      <c r="B53" s="38" t="s">
        <v>1298</v>
      </c>
      <c r="C53" s="36"/>
    </row>
    <row r="54" spans="1:3" ht="18">
      <c r="A54" s="39" t="s">
        <v>1351</v>
      </c>
      <c r="B54" s="38" t="s">
        <v>1298</v>
      </c>
      <c r="C54" s="36"/>
    </row>
    <row r="55" spans="1:3" ht="18">
      <c r="A55" s="35" t="s">
        <v>1352</v>
      </c>
      <c r="B55" s="35" t="s">
        <v>1296</v>
      </c>
      <c r="C55" s="36"/>
    </row>
    <row r="56" spans="1:3" ht="18">
      <c r="A56" s="37" t="s">
        <v>1353</v>
      </c>
      <c r="B56" s="38" t="s">
        <v>1298</v>
      </c>
      <c r="C56" s="36"/>
    </row>
    <row r="57" spans="1:3" ht="36">
      <c r="A57" s="39" t="s">
        <v>1354</v>
      </c>
      <c r="B57" s="38" t="s">
        <v>1298</v>
      </c>
      <c r="C57" s="36"/>
    </row>
    <row r="58" spans="1:3" ht="18">
      <c r="A58" s="37" t="s">
        <v>1355</v>
      </c>
      <c r="B58" s="41" t="s">
        <v>1318</v>
      </c>
      <c r="C58" s="36"/>
    </row>
    <row r="59" spans="1:3" ht="18">
      <c r="A59" s="37" t="s">
        <v>1356</v>
      </c>
      <c r="B59" s="38" t="s">
        <v>1298</v>
      </c>
      <c r="C59" s="36"/>
    </row>
    <row r="60" spans="1:3" ht="18">
      <c r="A60" s="39" t="s">
        <v>1357</v>
      </c>
      <c r="B60" s="38" t="s">
        <v>1298</v>
      </c>
      <c r="C60" s="36"/>
    </row>
    <row r="61" spans="1:3" ht="18">
      <c r="A61" s="37" t="s">
        <v>1358</v>
      </c>
      <c r="B61" s="41" t="s">
        <v>1318</v>
      </c>
      <c r="C61" s="36"/>
    </row>
    <row r="62" spans="1:3" ht="18">
      <c r="A62" s="35" t="s">
        <v>1359</v>
      </c>
      <c r="B62" s="35" t="s">
        <v>1296</v>
      </c>
      <c r="C62" s="36"/>
    </row>
    <row r="63" spans="1:3" ht="18">
      <c r="A63" s="39" t="s">
        <v>302</v>
      </c>
      <c r="B63" s="38" t="s">
        <v>1298</v>
      </c>
      <c r="C63" s="36"/>
    </row>
    <row r="64" spans="1:3" ht="18">
      <c r="A64" s="39" t="s">
        <v>1360</v>
      </c>
      <c r="B64" s="38" t="s">
        <v>1298</v>
      </c>
      <c r="C64" s="36"/>
    </row>
    <row r="65" spans="1:3" ht="18">
      <c r="A65" s="35" t="s">
        <v>1361</v>
      </c>
      <c r="B65" s="35" t="s">
        <v>1296</v>
      </c>
      <c r="C65" s="36"/>
    </row>
    <row r="66" spans="1:3" ht="18">
      <c r="A66" s="39" t="s">
        <v>1362</v>
      </c>
      <c r="B66" s="38" t="s">
        <v>1298</v>
      </c>
      <c r="C66" s="36"/>
    </row>
    <row r="67" spans="1:3" ht="18">
      <c r="A67" s="39" t="s">
        <v>1363</v>
      </c>
      <c r="B67" s="38" t="s">
        <v>1298</v>
      </c>
      <c r="C67" s="36"/>
    </row>
    <row r="68" spans="1:3" ht="18">
      <c r="A68" s="39" t="s">
        <v>1364</v>
      </c>
      <c r="B68" s="38" t="s">
        <v>1298</v>
      </c>
      <c r="C68" s="36"/>
    </row>
    <row r="69" spans="1:3" ht="18">
      <c r="A69" s="39" t="s">
        <v>1365</v>
      </c>
      <c r="B69" s="38" t="s">
        <v>1298</v>
      </c>
      <c r="C69" s="36"/>
    </row>
    <row r="70" spans="1:3" ht="18">
      <c r="A70" s="39" t="s">
        <v>1366</v>
      </c>
      <c r="B70" s="38" t="s">
        <v>1298</v>
      </c>
      <c r="C70" s="36"/>
    </row>
    <row r="71" spans="1:3" ht="18">
      <c r="A71" s="39" t="s">
        <v>1367</v>
      </c>
      <c r="B71" s="38" t="s">
        <v>1298</v>
      </c>
      <c r="C71" s="36"/>
    </row>
    <row r="72" spans="1:3" ht="18">
      <c r="A72" s="39" t="s">
        <v>1368</v>
      </c>
      <c r="B72" s="38" t="s">
        <v>1298</v>
      </c>
      <c r="C72" s="36"/>
    </row>
    <row r="73" spans="1:3" ht="18">
      <c r="A73" s="44" t="s">
        <v>1369</v>
      </c>
      <c r="B73" s="38" t="s">
        <v>1298</v>
      </c>
      <c r="C73" s="36"/>
    </row>
    <row r="74" spans="1:3" ht="18">
      <c r="A74" s="39" t="s">
        <v>1370</v>
      </c>
      <c r="B74" s="38" t="s">
        <v>1298</v>
      </c>
      <c r="C74" s="36"/>
    </row>
    <row r="75" spans="1:3" ht="18">
      <c r="A75" s="35" t="s">
        <v>1371</v>
      </c>
      <c r="B75" s="35" t="s">
        <v>1296</v>
      </c>
      <c r="C75" s="36"/>
    </row>
    <row r="76" spans="1:3" ht="18">
      <c r="A76" s="45" t="s">
        <v>1372</v>
      </c>
      <c r="B76" s="41" t="s">
        <v>1318</v>
      </c>
      <c r="C76" s="36"/>
    </row>
    <row r="77" spans="1:3" ht="18">
      <c r="A77" s="45" t="s">
        <v>1373</v>
      </c>
      <c r="B77" s="41" t="s">
        <v>1318</v>
      </c>
      <c r="C77" s="36"/>
    </row>
    <row r="78" spans="1:3" ht="28.5">
      <c r="A78" s="45" t="s">
        <v>1374</v>
      </c>
      <c r="B78" s="38" t="s">
        <v>1298</v>
      </c>
      <c r="C78" s="36"/>
    </row>
    <row r="79" spans="1:3" ht="18">
      <c r="A79" s="45" t="s">
        <v>1375</v>
      </c>
      <c r="B79" s="38" t="s">
        <v>1298</v>
      </c>
      <c r="C79" s="36"/>
    </row>
    <row r="80" spans="1:3" ht="18">
      <c r="A80" s="45" t="s">
        <v>1376</v>
      </c>
      <c r="B80" s="38" t="s">
        <v>1298</v>
      </c>
      <c r="C80" s="36"/>
    </row>
    <row r="81" spans="1:3" ht="18">
      <c r="A81" s="45" t="s">
        <v>1377</v>
      </c>
      <c r="B81" s="38" t="s">
        <v>1298</v>
      </c>
      <c r="C81" s="36"/>
    </row>
    <row r="82" spans="1:3" ht="18">
      <c r="A82" s="45" t="s">
        <v>1378</v>
      </c>
      <c r="B82" s="38" t="s">
        <v>1298</v>
      </c>
      <c r="C82" s="36"/>
    </row>
    <row r="83" spans="1:3" ht="18">
      <c r="A83" s="45" t="s">
        <v>1379</v>
      </c>
      <c r="B83" s="38" t="s">
        <v>1298</v>
      </c>
      <c r="C83" s="36"/>
    </row>
    <row r="84" spans="1:3" ht="18">
      <c r="A84" s="45" t="s">
        <v>1380</v>
      </c>
      <c r="B84" s="38" t="s">
        <v>1298</v>
      </c>
      <c r="C84" s="36"/>
    </row>
    <row r="85" spans="1:3" ht="18">
      <c r="A85" s="45" t="s">
        <v>1381</v>
      </c>
      <c r="B85" s="41" t="s">
        <v>1318</v>
      </c>
      <c r="C85" s="36"/>
    </row>
    <row r="86" spans="1:3" ht="18">
      <c r="A86" s="45" t="s">
        <v>1382</v>
      </c>
      <c r="B86" s="38" t="s">
        <v>1298</v>
      </c>
      <c r="C86" s="36"/>
    </row>
    <row r="87" spans="1:3" ht="18">
      <c r="A87" s="45" t="s">
        <v>1383</v>
      </c>
      <c r="B87" s="38" t="s">
        <v>1298</v>
      </c>
      <c r="C87" s="36"/>
    </row>
    <row r="88" spans="1:3" ht="18">
      <c r="A88" s="45" t="s">
        <v>1384</v>
      </c>
      <c r="B88" s="38" t="s">
        <v>1298</v>
      </c>
      <c r="C88" s="36"/>
    </row>
    <row r="89" spans="1:3" ht="18">
      <c r="A89" s="45" t="s">
        <v>1385</v>
      </c>
      <c r="B89" s="38" t="s">
        <v>1298</v>
      </c>
      <c r="C89" s="36"/>
    </row>
    <row r="90" spans="1:3" ht="18">
      <c r="A90" s="46" t="s">
        <v>1386</v>
      </c>
      <c r="B90" s="38" t="s">
        <v>1298</v>
      </c>
      <c r="C90" s="36"/>
    </row>
    <row r="91" spans="1:3" ht="18">
      <c r="A91" s="45" t="s">
        <v>1387</v>
      </c>
      <c r="B91" s="38" t="s">
        <v>1298</v>
      </c>
      <c r="C91" s="36"/>
    </row>
    <row r="92" spans="1:3" ht="18">
      <c r="A92" s="45" t="s">
        <v>1388</v>
      </c>
      <c r="B92" s="38" t="s">
        <v>1298</v>
      </c>
      <c r="C92" s="36"/>
    </row>
    <row r="93" spans="1:3" ht="18">
      <c r="A93" s="46" t="s">
        <v>1389</v>
      </c>
      <c r="B93" s="41" t="s">
        <v>1318</v>
      </c>
      <c r="C93" s="36"/>
    </row>
    <row r="94" spans="1:3" ht="18">
      <c r="A94" s="46" t="s">
        <v>1390</v>
      </c>
      <c r="B94" s="41" t="s">
        <v>1318</v>
      </c>
      <c r="C94" s="36"/>
    </row>
    <row r="95" spans="1:3" ht="28.5">
      <c r="A95" s="46" t="s">
        <v>1391</v>
      </c>
      <c r="B95" s="41" t="s">
        <v>1318</v>
      </c>
      <c r="C95" s="36"/>
    </row>
    <row r="96" spans="1:3" ht="18">
      <c r="A96" s="35" t="s">
        <v>1392</v>
      </c>
      <c r="B96" s="35" t="s">
        <v>1296</v>
      </c>
      <c r="C96" s="36"/>
    </row>
    <row r="97" spans="1:3" ht="18">
      <c r="A97" s="45" t="s">
        <v>1393</v>
      </c>
      <c r="B97" s="38" t="s">
        <v>1298</v>
      </c>
      <c r="C97" s="36"/>
    </row>
    <row r="98" spans="1:3" ht="18">
      <c r="A98" s="45" t="s">
        <v>1394</v>
      </c>
      <c r="B98" s="38" t="s">
        <v>1298</v>
      </c>
      <c r="C98" s="36"/>
    </row>
    <row r="99" spans="1:3" ht="18">
      <c r="A99" s="45" t="s">
        <v>1395</v>
      </c>
      <c r="B99" s="38" t="s">
        <v>1298</v>
      </c>
      <c r="C99" s="36"/>
    </row>
    <row r="100" spans="1:3" ht="18">
      <c r="A100" s="45" t="s">
        <v>1396</v>
      </c>
      <c r="B100" s="38" t="s">
        <v>1298</v>
      </c>
      <c r="C100" s="36"/>
    </row>
    <row r="101" spans="1:3" ht="18">
      <c r="A101" s="45" t="s">
        <v>1397</v>
      </c>
      <c r="B101" s="41" t="s">
        <v>1318</v>
      </c>
      <c r="C101" s="36"/>
    </row>
    <row r="102" spans="1:3" ht="18">
      <c r="A102" s="45" t="s">
        <v>1398</v>
      </c>
      <c r="B102" s="38" t="s">
        <v>1298</v>
      </c>
      <c r="C102" s="36"/>
    </row>
    <row r="103" spans="1:3" ht="18">
      <c r="A103" s="45" t="s">
        <v>1399</v>
      </c>
      <c r="B103" s="38" t="s">
        <v>1298</v>
      </c>
      <c r="C103" s="36"/>
    </row>
    <row r="104" spans="1:3" ht="18">
      <c r="A104" s="45" t="s">
        <v>1400</v>
      </c>
      <c r="B104" s="38" t="s">
        <v>1298</v>
      </c>
      <c r="C104" s="36"/>
    </row>
    <row r="105" spans="1:3" ht="18">
      <c r="A105" s="45" t="s">
        <v>1401</v>
      </c>
      <c r="B105" s="38" t="s">
        <v>1298</v>
      </c>
      <c r="C105" s="36"/>
    </row>
    <row r="106" spans="1:3" ht="18">
      <c r="A106" s="45" t="s">
        <v>1402</v>
      </c>
      <c r="B106" s="38" t="s">
        <v>1298</v>
      </c>
      <c r="C106" s="36"/>
    </row>
    <row r="107" spans="1:3" ht="18">
      <c r="A107" s="45" t="s">
        <v>1403</v>
      </c>
      <c r="B107" s="38" t="s">
        <v>1298</v>
      </c>
      <c r="C107" s="36"/>
    </row>
    <row r="108" spans="1:3" ht="18">
      <c r="A108" s="45" t="s">
        <v>1404</v>
      </c>
      <c r="B108" s="38" t="s">
        <v>1298</v>
      </c>
      <c r="C108" s="36"/>
    </row>
    <row r="109" spans="1:3" ht="18">
      <c r="A109" s="45" t="s">
        <v>1405</v>
      </c>
      <c r="B109" s="38" t="s">
        <v>1298</v>
      </c>
      <c r="C109" s="36"/>
    </row>
    <row r="110" spans="1:3" ht="18">
      <c r="A110" s="45" t="s">
        <v>1406</v>
      </c>
      <c r="B110" s="38" t="s">
        <v>1298</v>
      </c>
      <c r="C110" s="36"/>
    </row>
    <row r="111" spans="1:3" ht="18">
      <c r="A111" s="45" t="s">
        <v>1407</v>
      </c>
      <c r="B111" s="38" t="s">
        <v>1298</v>
      </c>
      <c r="C111" s="36"/>
    </row>
    <row r="112" spans="1:3" ht="18">
      <c r="A112" s="45" t="s">
        <v>1408</v>
      </c>
      <c r="B112" s="38" t="s">
        <v>1298</v>
      </c>
      <c r="C112" s="36"/>
    </row>
    <row r="113" spans="1:3" ht="18">
      <c r="A113" s="45" t="s">
        <v>1409</v>
      </c>
      <c r="B113" s="41" t="s">
        <v>1318</v>
      </c>
      <c r="C113" s="36"/>
    </row>
    <row r="114" spans="1:3" ht="18">
      <c r="A114" s="45" t="s">
        <v>1410</v>
      </c>
      <c r="B114" s="41" t="s">
        <v>1318</v>
      </c>
      <c r="C114" s="36"/>
    </row>
    <row r="115" spans="1:3" ht="18">
      <c r="A115" s="45" t="s">
        <v>1411</v>
      </c>
      <c r="B115" s="38" t="s">
        <v>1298</v>
      </c>
      <c r="C115" s="36"/>
    </row>
    <row r="116" spans="1:3" ht="18">
      <c r="A116" s="45" t="s">
        <v>1412</v>
      </c>
      <c r="B116" s="38" t="s">
        <v>1298</v>
      </c>
      <c r="C116" s="36"/>
    </row>
    <row r="117" spans="1:3" ht="18">
      <c r="A117" s="45" t="s">
        <v>1413</v>
      </c>
      <c r="B117" s="38" t="s">
        <v>1298</v>
      </c>
      <c r="C117" s="36"/>
    </row>
    <row r="118" spans="1:3" ht="18">
      <c r="A118" s="45" t="s">
        <v>1414</v>
      </c>
      <c r="B118" s="38" t="s">
        <v>1298</v>
      </c>
      <c r="C118" s="36"/>
    </row>
    <row r="119" spans="1:3" ht="28.5">
      <c r="A119" s="45" t="s">
        <v>1415</v>
      </c>
      <c r="B119" s="38" t="s">
        <v>1298</v>
      </c>
      <c r="C119" s="36"/>
    </row>
    <row r="120" spans="1:3" ht="28.5">
      <c r="A120" s="45" t="s">
        <v>1416</v>
      </c>
      <c r="B120" s="38" t="s">
        <v>1298</v>
      </c>
      <c r="C120" s="36"/>
    </row>
    <row r="121" spans="1:3" ht="18">
      <c r="A121" s="45" t="s">
        <v>1417</v>
      </c>
      <c r="B121" s="38" t="s">
        <v>1298</v>
      </c>
      <c r="C121" s="36"/>
    </row>
    <row r="122" spans="1:3" ht="18">
      <c r="A122" s="45" t="s">
        <v>1418</v>
      </c>
      <c r="B122" s="38" t="s">
        <v>1298</v>
      </c>
      <c r="C122" s="36"/>
    </row>
    <row r="123" spans="1:3" ht="18">
      <c r="A123" s="45" t="s">
        <v>1419</v>
      </c>
      <c r="B123" s="38" t="s">
        <v>1298</v>
      </c>
      <c r="C123" s="36"/>
    </row>
    <row r="124" spans="1:3" ht="28.5">
      <c r="A124" s="45" t="s">
        <v>1420</v>
      </c>
      <c r="B124" s="38" t="s">
        <v>1298</v>
      </c>
      <c r="C124" s="36"/>
    </row>
    <row r="125" spans="1:3" ht="18">
      <c r="A125" s="45" t="s">
        <v>1421</v>
      </c>
      <c r="B125" s="38" t="s">
        <v>1298</v>
      </c>
      <c r="C125" s="36"/>
    </row>
    <row r="126" spans="1:3" ht="18">
      <c r="A126" s="45" t="s">
        <v>1422</v>
      </c>
      <c r="B126" s="38" t="s">
        <v>1298</v>
      </c>
      <c r="C126" s="36"/>
    </row>
    <row r="127" spans="1:3" ht="18">
      <c r="A127" s="45" t="s">
        <v>1423</v>
      </c>
      <c r="B127" s="38" t="s">
        <v>1298</v>
      </c>
      <c r="C127" s="36"/>
    </row>
    <row r="128" spans="1:3" ht="18">
      <c r="A128" s="45" t="s">
        <v>1424</v>
      </c>
      <c r="B128" s="38" t="s">
        <v>1298</v>
      </c>
      <c r="C128" s="36"/>
    </row>
    <row r="129" spans="1:3" ht="18">
      <c r="A129" s="45" t="s">
        <v>1425</v>
      </c>
      <c r="B129" s="38" t="s">
        <v>1298</v>
      </c>
      <c r="C129" s="36"/>
    </row>
    <row r="130" spans="1:3" ht="18">
      <c r="A130" s="45" t="s">
        <v>1426</v>
      </c>
      <c r="B130" s="38" t="s">
        <v>1298</v>
      </c>
      <c r="C130" s="36"/>
    </row>
    <row r="131" spans="1:3" ht="18">
      <c r="A131" s="35" t="s">
        <v>1427</v>
      </c>
      <c r="B131" s="35" t="s">
        <v>1296</v>
      </c>
      <c r="C131" s="36"/>
    </row>
    <row r="132" spans="1:3" ht="18">
      <c r="A132" s="45" t="s">
        <v>1428</v>
      </c>
      <c r="B132" s="38" t="s">
        <v>1298</v>
      </c>
      <c r="C132" s="36"/>
    </row>
    <row r="133" spans="1:3" ht="18">
      <c r="A133" s="45" t="s">
        <v>1429</v>
      </c>
      <c r="B133" s="38" t="s">
        <v>1298</v>
      </c>
      <c r="C133" s="36"/>
    </row>
    <row r="134" spans="1:3" ht="18">
      <c r="A134" s="45" t="s">
        <v>1430</v>
      </c>
      <c r="B134" s="38" t="s">
        <v>1298</v>
      </c>
      <c r="C134" s="36"/>
    </row>
    <row r="135" spans="1:3" ht="18">
      <c r="A135" s="45" t="s">
        <v>1431</v>
      </c>
      <c r="B135" s="38" t="s">
        <v>1298</v>
      </c>
      <c r="C135" s="36"/>
    </row>
    <row r="136" spans="1:3" ht="18">
      <c r="A136" s="45" t="s">
        <v>1432</v>
      </c>
      <c r="B136" s="38" t="s">
        <v>1298</v>
      </c>
      <c r="C136" s="36"/>
    </row>
    <row r="137" spans="1:3" ht="18">
      <c r="A137" s="45" t="s">
        <v>1433</v>
      </c>
      <c r="B137" s="38" t="s">
        <v>1298</v>
      </c>
      <c r="C137" s="36"/>
    </row>
    <row r="138" spans="1:3" ht="18">
      <c r="A138" s="45" t="s">
        <v>1434</v>
      </c>
      <c r="B138" s="38" t="s">
        <v>1298</v>
      </c>
      <c r="C138" s="36"/>
    </row>
    <row r="139" spans="1:3" ht="18">
      <c r="A139" s="45" t="s">
        <v>1435</v>
      </c>
      <c r="B139" s="38" t="s">
        <v>1298</v>
      </c>
      <c r="C139" s="36"/>
    </row>
    <row r="140" spans="1:3" ht="18">
      <c r="A140" s="45" t="s">
        <v>1436</v>
      </c>
      <c r="B140" s="38" t="s">
        <v>1298</v>
      </c>
      <c r="C140" s="36"/>
    </row>
    <row r="141" spans="1:3" ht="18">
      <c r="A141" s="45" t="s">
        <v>1437</v>
      </c>
      <c r="B141" s="38" t="s">
        <v>1298</v>
      </c>
      <c r="C141" s="36"/>
    </row>
    <row r="142" spans="1:3" ht="18">
      <c r="A142" s="45" t="s">
        <v>1438</v>
      </c>
      <c r="B142" s="38" t="s">
        <v>1298</v>
      </c>
      <c r="C142" s="36"/>
    </row>
    <row r="143" spans="1:3" ht="18">
      <c r="A143" s="45" t="s">
        <v>1439</v>
      </c>
      <c r="B143" s="38" t="s">
        <v>1298</v>
      </c>
      <c r="C143" s="36"/>
    </row>
    <row r="144" spans="1:3" ht="18">
      <c r="A144" s="45" t="s">
        <v>1440</v>
      </c>
      <c r="B144" s="38" t="s">
        <v>1298</v>
      </c>
      <c r="C144" s="36"/>
    </row>
    <row r="145" spans="1:3" ht="18">
      <c r="A145" s="45" t="s">
        <v>1441</v>
      </c>
      <c r="B145" s="38" t="s">
        <v>1298</v>
      </c>
      <c r="C145" s="36"/>
    </row>
    <row r="146" spans="1:3" ht="18">
      <c r="A146" s="45" t="s">
        <v>1442</v>
      </c>
      <c r="B146" s="38" t="s">
        <v>1298</v>
      </c>
      <c r="C146" s="36"/>
    </row>
    <row r="147" spans="1:3" ht="18">
      <c r="A147" s="45" t="s">
        <v>1443</v>
      </c>
      <c r="B147" s="38" t="s">
        <v>1298</v>
      </c>
      <c r="C147" s="36"/>
    </row>
    <row r="148" spans="1:3" ht="18">
      <c r="A148" s="45" t="s">
        <v>1444</v>
      </c>
      <c r="B148" s="38" t="s">
        <v>1298</v>
      </c>
      <c r="C148" s="36"/>
    </row>
    <row r="149" spans="1:3" ht="18">
      <c r="A149" s="45" t="s">
        <v>1445</v>
      </c>
      <c r="B149" s="41" t="s">
        <v>1318</v>
      </c>
      <c r="C149" s="36"/>
    </row>
    <row r="150" spans="1:3" ht="18">
      <c r="A150" s="45" t="s">
        <v>1446</v>
      </c>
      <c r="B150" s="41" t="s">
        <v>1318</v>
      </c>
      <c r="C150" s="36"/>
    </row>
    <row r="151" spans="1:3" ht="28.5">
      <c r="A151" s="45" t="s">
        <v>1447</v>
      </c>
      <c r="B151" s="38" t="s">
        <v>1298</v>
      </c>
      <c r="C151" s="36"/>
    </row>
    <row r="152" spans="1:3" ht="18">
      <c r="A152" s="45" t="s">
        <v>1448</v>
      </c>
      <c r="B152" s="41" t="s">
        <v>1318</v>
      </c>
      <c r="C152" s="36"/>
    </row>
    <row r="153" spans="1:3" ht="18">
      <c r="A153" s="45" t="s">
        <v>1449</v>
      </c>
      <c r="B153" s="38" t="s">
        <v>1298</v>
      </c>
      <c r="C153" s="36"/>
    </row>
    <row r="154" spans="1:3" ht="18">
      <c r="A154" s="45" t="s">
        <v>1450</v>
      </c>
      <c r="B154" s="38" t="s">
        <v>1298</v>
      </c>
      <c r="C154" s="36"/>
    </row>
    <row r="155" spans="1:3" ht="18">
      <c r="A155" s="45" t="s">
        <v>1451</v>
      </c>
      <c r="B155" s="38" t="s">
        <v>1298</v>
      </c>
      <c r="C155" s="36"/>
    </row>
    <row r="156" spans="1:3" ht="18">
      <c r="A156" s="45" t="s">
        <v>1452</v>
      </c>
      <c r="B156" s="41" t="s">
        <v>1318</v>
      </c>
      <c r="C156" s="36"/>
    </row>
    <row r="157" spans="1:3" ht="18">
      <c r="A157" s="45" t="s">
        <v>1453</v>
      </c>
      <c r="B157" s="38" t="s">
        <v>1298</v>
      </c>
      <c r="C157" s="36"/>
    </row>
    <row r="158" spans="1:3" ht="18">
      <c r="A158" s="45" t="s">
        <v>1454</v>
      </c>
      <c r="B158" s="38" t="s">
        <v>1298</v>
      </c>
      <c r="C158" s="36"/>
    </row>
    <row r="159" spans="1:3" ht="18">
      <c r="A159" s="45" t="s">
        <v>1455</v>
      </c>
      <c r="B159" s="41" t="s">
        <v>1318</v>
      </c>
      <c r="C159" s="36"/>
    </row>
    <row r="160" spans="1:3" ht="18">
      <c r="A160" s="45" t="s">
        <v>1456</v>
      </c>
      <c r="B160" s="38" t="s">
        <v>1298</v>
      </c>
      <c r="C160" s="36"/>
    </row>
    <row r="161" spans="1:3" ht="18">
      <c r="A161" s="45" t="s">
        <v>1457</v>
      </c>
      <c r="B161" s="41" t="s">
        <v>1318</v>
      </c>
      <c r="C161" s="36"/>
    </row>
    <row r="162" spans="1:3" ht="18">
      <c r="A162" s="45" t="s">
        <v>1458</v>
      </c>
      <c r="B162" s="38" t="s">
        <v>1298</v>
      </c>
      <c r="C162" s="36"/>
    </row>
    <row r="163" spans="1:3" ht="18">
      <c r="A163" s="45" t="s">
        <v>1459</v>
      </c>
      <c r="B163" s="38" t="s">
        <v>1298</v>
      </c>
      <c r="C163" s="36"/>
    </row>
    <row r="164" spans="1:3" ht="18">
      <c r="A164" s="45" t="s">
        <v>1460</v>
      </c>
      <c r="B164" s="38" t="s">
        <v>1298</v>
      </c>
      <c r="C164" s="36"/>
    </row>
    <row r="165" spans="1:3" ht="18">
      <c r="A165" s="45" t="s">
        <v>1461</v>
      </c>
      <c r="B165" s="38" t="s">
        <v>1298</v>
      </c>
      <c r="C165" s="36"/>
    </row>
    <row r="166" spans="1:3" ht="18">
      <c r="A166" s="45" t="s">
        <v>1462</v>
      </c>
      <c r="B166" s="38" t="s">
        <v>1298</v>
      </c>
      <c r="C166" s="36"/>
    </row>
    <row r="167" spans="1:3" ht="18">
      <c r="A167" s="45" t="s">
        <v>1463</v>
      </c>
      <c r="B167" s="41" t="s">
        <v>1318</v>
      </c>
      <c r="C167" s="36"/>
    </row>
    <row r="168" spans="1:3" ht="28.5">
      <c r="A168" s="45" t="s">
        <v>1464</v>
      </c>
      <c r="B168" s="38" t="s">
        <v>1298</v>
      </c>
      <c r="C168" s="36"/>
    </row>
    <row r="169" spans="1:3" ht="18">
      <c r="A169" s="45" t="s">
        <v>1465</v>
      </c>
      <c r="B169" s="41" t="s">
        <v>1318</v>
      </c>
      <c r="C169" s="36"/>
    </row>
    <row r="170" spans="1:3" ht="18">
      <c r="A170" s="45" t="s">
        <v>1466</v>
      </c>
      <c r="B170" s="38" t="s">
        <v>1298</v>
      </c>
      <c r="C170" s="36"/>
    </row>
    <row r="171" spans="1:3" ht="18">
      <c r="A171" s="45" t="s">
        <v>1467</v>
      </c>
      <c r="B171" s="38" t="s">
        <v>1298</v>
      </c>
      <c r="C171" s="36"/>
    </row>
    <row r="172" spans="1:3" ht="18">
      <c r="A172" s="45" t="s">
        <v>1468</v>
      </c>
      <c r="B172" s="41" t="s">
        <v>1318</v>
      </c>
      <c r="C172" s="36"/>
    </row>
    <row r="173" spans="1:3" ht="18">
      <c r="A173" s="45" t="s">
        <v>1469</v>
      </c>
      <c r="B173" s="38" t="s">
        <v>1298</v>
      </c>
      <c r="C173" s="36"/>
    </row>
    <row r="174" spans="1:3" ht="18">
      <c r="A174" s="45" t="s">
        <v>1470</v>
      </c>
      <c r="B174" s="38" t="s">
        <v>1298</v>
      </c>
      <c r="C174" s="36"/>
    </row>
    <row r="175" spans="1:3" ht="18">
      <c r="A175" s="45" t="s">
        <v>1471</v>
      </c>
      <c r="B175" s="38" t="s">
        <v>1298</v>
      </c>
      <c r="C175" s="36"/>
    </row>
    <row r="176" spans="1:3" ht="18">
      <c r="A176" s="45" t="s">
        <v>1472</v>
      </c>
      <c r="B176" s="41" t="s">
        <v>1318</v>
      </c>
      <c r="C176" s="36"/>
    </row>
    <row r="177" spans="1:3" ht="18">
      <c r="A177" s="35" t="s">
        <v>2339</v>
      </c>
      <c r="B177" s="35" t="s">
        <v>1296</v>
      </c>
      <c r="C177" s="36"/>
    </row>
    <row r="178" spans="1:3" ht="18">
      <c r="A178" s="45" t="s">
        <v>2341</v>
      </c>
      <c r="B178" s="38" t="s">
        <v>1298</v>
      </c>
      <c r="C178" s="36"/>
    </row>
    <row r="179" spans="1:3" ht="18">
      <c r="A179" s="45" t="s">
        <v>2340</v>
      </c>
      <c r="B179" s="41" t="s">
        <v>1318</v>
      </c>
      <c r="C179" s="36"/>
    </row>
    <row r="180" spans="1:3" ht="18">
      <c r="A180" s="45" t="s">
        <v>2342</v>
      </c>
      <c r="B180" s="38" t="s">
        <v>1298</v>
      </c>
      <c r="C180" s="36"/>
    </row>
    <row r="181" spans="1:3" ht="18">
      <c r="A181" s="45" t="s">
        <v>2343</v>
      </c>
      <c r="B181" s="38" t="s">
        <v>1298</v>
      </c>
      <c r="C181" s="36"/>
    </row>
    <row r="182" spans="1:3" ht="18">
      <c r="A182" s="45" t="s">
        <v>2344</v>
      </c>
      <c r="B182" s="38" t="s">
        <v>1298</v>
      </c>
      <c r="C182" s="36"/>
    </row>
    <row r="183" spans="1:3" ht="18">
      <c r="A183" s="45" t="s">
        <v>2345</v>
      </c>
      <c r="B183" s="38" t="s">
        <v>1298</v>
      </c>
      <c r="C183" s="36"/>
    </row>
    <row r="184" spans="1:3" ht="18">
      <c r="A184" s="45" t="s">
        <v>2346</v>
      </c>
      <c r="B184" s="38" t="s">
        <v>1298</v>
      </c>
      <c r="C184" s="36"/>
    </row>
    <row r="185" spans="1:3" ht="18">
      <c r="A185" s="45" t="s">
        <v>2347</v>
      </c>
      <c r="B185" s="38" t="s">
        <v>1298</v>
      </c>
      <c r="C185" s="36"/>
    </row>
    <row r="186" spans="1:3" ht="18">
      <c r="A186" s="45" t="s">
        <v>2348</v>
      </c>
      <c r="B186" s="38" t="s">
        <v>1298</v>
      </c>
      <c r="C186" s="36"/>
    </row>
    <row r="187" spans="1:3" ht="18">
      <c r="A187" s="45" t="s">
        <v>2349</v>
      </c>
      <c r="B187" s="38" t="s">
        <v>1298</v>
      </c>
      <c r="C187" s="36"/>
    </row>
    <row r="188" spans="1:3" ht="18">
      <c r="A188" s="45" t="s">
        <v>2350</v>
      </c>
      <c r="B188" s="38" t="s">
        <v>1298</v>
      </c>
      <c r="C188" s="36"/>
    </row>
    <row r="189" spans="1:3" ht="18">
      <c r="A189" s="45" t="s">
        <v>2351</v>
      </c>
      <c r="B189" s="41" t="s">
        <v>1318</v>
      </c>
      <c r="C189" s="36"/>
    </row>
    <row r="190" spans="1:3" ht="18">
      <c r="A190" s="45" t="s">
        <v>2352</v>
      </c>
      <c r="B190" s="41" t="s">
        <v>1318</v>
      </c>
      <c r="C190" s="36"/>
    </row>
    <row r="191" spans="1:3" ht="18">
      <c r="A191" s="45" t="s">
        <v>2353</v>
      </c>
      <c r="B191" s="38" t="s">
        <v>1298</v>
      </c>
      <c r="C191" s="36"/>
    </row>
    <row r="192" spans="1:3" ht="18">
      <c r="A192" s="45" t="s">
        <v>2354</v>
      </c>
      <c r="B192" s="38" t="s">
        <v>1298</v>
      </c>
      <c r="C192" s="36"/>
    </row>
    <row r="193" spans="1:3" ht="18">
      <c r="A193" s="45" t="s">
        <v>2355</v>
      </c>
      <c r="B193" s="38" t="s">
        <v>1298</v>
      </c>
      <c r="C193" s="36"/>
    </row>
    <row r="194" spans="1:3" ht="18">
      <c r="A194" s="45" t="s">
        <v>2356</v>
      </c>
      <c r="B194" s="38" t="s">
        <v>1298</v>
      </c>
      <c r="C194" s="36"/>
    </row>
    <row r="195" spans="1:3" ht="18">
      <c r="A195" s="45" t="s">
        <v>2357</v>
      </c>
      <c r="B195" s="38" t="s">
        <v>1298</v>
      </c>
      <c r="C195" s="36"/>
    </row>
    <row r="196" spans="1:3" ht="18">
      <c r="A196" s="45" t="s">
        <v>2358</v>
      </c>
      <c r="B196" s="38" t="s">
        <v>1298</v>
      </c>
      <c r="C196" s="36"/>
    </row>
    <row r="197" spans="1:3" ht="18">
      <c r="A197" s="45" t="s">
        <v>2359</v>
      </c>
      <c r="B197" s="38" t="s">
        <v>1298</v>
      </c>
      <c r="C197" s="36"/>
    </row>
    <row r="198" spans="1:3" ht="18">
      <c r="A198" s="45" t="s">
        <v>2360</v>
      </c>
      <c r="B198" s="38" t="s">
        <v>1298</v>
      </c>
      <c r="C198" s="36"/>
    </row>
    <row r="199" spans="1:3" ht="18">
      <c r="A199" s="45" t="s">
        <v>2361</v>
      </c>
      <c r="B199" s="41" t="s">
        <v>1318</v>
      </c>
      <c r="C199" s="36"/>
    </row>
    <row r="200" spans="1:3" ht="18">
      <c r="A200" s="45" t="s">
        <v>2362</v>
      </c>
      <c r="B200" s="38" t="s">
        <v>1298</v>
      </c>
      <c r="C200" s="36"/>
    </row>
    <row r="201" spans="1:3" ht="18">
      <c r="A201" s="45" t="s">
        <v>2363</v>
      </c>
      <c r="B201" s="38" t="s">
        <v>1298</v>
      </c>
      <c r="C201" s="36"/>
    </row>
    <row r="202" spans="1:3" ht="18">
      <c r="A202" s="45" t="s">
        <v>2364</v>
      </c>
      <c r="B202" s="38" t="s">
        <v>1298</v>
      </c>
      <c r="C202" s="36"/>
    </row>
    <row r="203" spans="1:3" ht="18">
      <c r="A203" s="45" t="s">
        <v>2365</v>
      </c>
      <c r="B203" s="41" t="s">
        <v>1318</v>
      </c>
      <c r="C203" s="36"/>
    </row>
    <row r="204" spans="1:3" ht="18">
      <c r="A204" s="45" t="s">
        <v>2366</v>
      </c>
      <c r="B204" s="38" t="s">
        <v>1298</v>
      </c>
      <c r="C204" s="36"/>
    </row>
    <row r="205" spans="1:3" ht="18">
      <c r="A205" s="45" t="s">
        <v>2367</v>
      </c>
      <c r="B205" s="38" t="s">
        <v>1298</v>
      </c>
      <c r="C205" s="36"/>
    </row>
    <row r="206" spans="1:3" ht="18">
      <c r="A206" s="45" t="s">
        <v>2368</v>
      </c>
      <c r="B206" s="38" t="s">
        <v>1298</v>
      </c>
      <c r="C206" s="36"/>
    </row>
    <row r="207" spans="1:3" ht="18">
      <c r="A207" s="45" t="s">
        <v>2369</v>
      </c>
      <c r="B207" s="38" t="s">
        <v>1298</v>
      </c>
      <c r="C207" s="36"/>
    </row>
    <row r="208" spans="1:3" ht="18">
      <c r="A208" s="45" t="s">
        <v>2370</v>
      </c>
      <c r="B208" s="38" t="s">
        <v>1298</v>
      </c>
      <c r="C208" s="36"/>
    </row>
    <row r="209" spans="1:3" ht="18">
      <c r="A209" s="45" t="s">
        <v>2371</v>
      </c>
      <c r="B209" s="41" t="s">
        <v>1318</v>
      </c>
      <c r="C209" s="36"/>
    </row>
    <row r="210" spans="1:3" ht="18">
      <c r="A210" s="45" t="s">
        <v>2372</v>
      </c>
      <c r="B210" s="41" t="s">
        <v>1318</v>
      </c>
      <c r="C210" s="36"/>
    </row>
    <row r="211" spans="1:3" ht="18">
      <c r="A211" s="45" t="s">
        <v>2373</v>
      </c>
      <c r="B211" s="41" t="s">
        <v>1318</v>
      </c>
      <c r="C211" s="36"/>
    </row>
    <row r="212" spans="1:3" ht="18">
      <c r="A212" s="45" t="s">
        <v>2374</v>
      </c>
      <c r="B212" s="38" t="s">
        <v>1298</v>
      </c>
      <c r="C212" s="36"/>
    </row>
    <row r="213" spans="1:3" ht="18">
      <c r="A213" s="45" t="s">
        <v>2375</v>
      </c>
      <c r="B213" s="41" t="s">
        <v>1318</v>
      </c>
      <c r="C213" s="36"/>
    </row>
    <row r="214" spans="1:3" ht="18">
      <c r="A214" s="45" t="s">
        <v>2376</v>
      </c>
      <c r="B214" s="41" t="s">
        <v>1318</v>
      </c>
      <c r="C214" s="36"/>
    </row>
    <row r="215" spans="1:3" ht="18">
      <c r="A215" s="45" t="s">
        <v>2377</v>
      </c>
      <c r="B215" s="38" t="s">
        <v>1298</v>
      </c>
      <c r="C215" s="36"/>
    </row>
    <row r="216" spans="1:3" ht="18">
      <c r="A216" s="45" t="s">
        <v>2378</v>
      </c>
      <c r="B216" s="41" t="s">
        <v>1318</v>
      </c>
      <c r="C216" s="36"/>
    </row>
    <row r="217" spans="1:3" ht="18">
      <c r="A217" s="35" t="s">
        <v>2379</v>
      </c>
      <c r="B217" s="35" t="s">
        <v>1296</v>
      </c>
    </row>
    <row r="218" spans="1:3" ht="18">
      <c r="A218" s="45" t="s">
        <v>2380</v>
      </c>
      <c r="B218" s="41" t="s">
        <v>1318</v>
      </c>
      <c r="C218" s="36"/>
    </row>
    <row r="219" spans="1:3" ht="18">
      <c r="A219" s="45" t="s">
        <v>2381</v>
      </c>
      <c r="B219" s="38" t="s">
        <v>1298</v>
      </c>
      <c r="C219" s="3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C394-7902-EC48-AFC9-BB1CE49BD8EF}">
  <dimension ref="A1:J65"/>
  <sheetViews>
    <sheetView topLeftCell="A31" zoomScale="80" zoomScaleNormal="80" workbookViewId="0">
      <selection activeCell="B57" sqref="B57"/>
    </sheetView>
  </sheetViews>
  <sheetFormatPr defaultColWidth="10.875" defaultRowHeight="15.75"/>
  <cols>
    <col min="1" max="1" width="24.375" style="8" bestFit="1" customWidth="1"/>
    <col min="2" max="2" width="29.625" style="8" bestFit="1" customWidth="1"/>
    <col min="3" max="3" width="46.375" style="8" bestFit="1" customWidth="1"/>
    <col min="4" max="4" width="69.625" style="8" customWidth="1"/>
    <col min="5" max="5" width="40" style="8" bestFit="1" customWidth="1"/>
    <col min="6" max="6" width="110" style="8" bestFit="1" customWidth="1"/>
    <col min="7" max="7" width="50" style="8" bestFit="1" customWidth="1"/>
    <col min="8" max="8" width="122.125" style="8" bestFit="1" customWidth="1"/>
    <col min="9" max="9" width="19.5" style="8" bestFit="1" customWidth="1"/>
    <col min="10" max="10" width="63.375" style="8" bestFit="1" customWidth="1"/>
    <col min="11" max="16384" width="10.875" style="8"/>
  </cols>
  <sheetData>
    <row r="1" spans="1:7" s="6" customFormat="1">
      <c r="A1" s="5" t="s">
        <v>6</v>
      </c>
      <c r="B1" s="5" t="s">
        <v>202</v>
      </c>
      <c r="C1" s="5" t="s">
        <v>203</v>
      </c>
      <c r="D1" s="5" t="s">
        <v>204</v>
      </c>
      <c r="E1" s="5" t="s">
        <v>205</v>
      </c>
      <c r="F1" s="5" t="s">
        <v>206</v>
      </c>
      <c r="G1" s="5" t="s">
        <v>207</v>
      </c>
    </row>
    <row r="2" spans="1:7">
      <c r="A2" s="7" t="s">
        <v>7</v>
      </c>
      <c r="B2" s="8" t="s">
        <v>13</v>
      </c>
      <c r="C2" s="8" t="s">
        <v>59</v>
      </c>
      <c r="D2" s="8" t="s">
        <v>108</v>
      </c>
      <c r="E2" s="8" t="s">
        <v>131</v>
      </c>
      <c r="F2" s="8" t="s">
        <v>143</v>
      </c>
      <c r="G2" s="8" t="s">
        <v>188</v>
      </c>
    </row>
    <row r="3" spans="1:7">
      <c r="A3" s="7" t="s">
        <v>8</v>
      </c>
      <c r="B3" s="8" t="s">
        <v>14</v>
      </c>
      <c r="C3" s="8" t="s">
        <v>60</v>
      </c>
      <c r="D3" s="8" t="s">
        <v>109</v>
      </c>
      <c r="E3" s="8" t="s">
        <v>132</v>
      </c>
      <c r="F3" s="8" t="s">
        <v>144</v>
      </c>
      <c r="G3" s="8" t="s">
        <v>189</v>
      </c>
    </row>
    <row r="4" spans="1:7">
      <c r="A4" s="7" t="s">
        <v>9</v>
      </c>
      <c r="B4" s="8" t="s">
        <v>15</v>
      </c>
      <c r="C4" s="8" t="s">
        <v>61</v>
      </c>
      <c r="D4" s="8" t="s">
        <v>110</v>
      </c>
      <c r="E4" s="8" t="s">
        <v>133</v>
      </c>
      <c r="F4" s="8" t="s">
        <v>145</v>
      </c>
      <c r="G4" s="8" t="s">
        <v>190</v>
      </c>
    </row>
    <row r="5" spans="1:7">
      <c r="A5" s="7" t="s">
        <v>10</v>
      </c>
      <c r="B5" s="8" t="s">
        <v>16</v>
      </c>
      <c r="C5" s="8" t="s">
        <v>62</v>
      </c>
      <c r="D5" s="8" t="s">
        <v>111</v>
      </c>
      <c r="E5" s="8" t="s">
        <v>134</v>
      </c>
      <c r="F5" s="8" t="s">
        <v>146</v>
      </c>
      <c r="G5" s="8" t="s">
        <v>191</v>
      </c>
    </row>
    <row r="6" spans="1:7">
      <c r="A6" s="7" t="s">
        <v>11</v>
      </c>
      <c r="B6" s="8" t="s">
        <v>17</v>
      </c>
      <c r="C6" s="8" t="s">
        <v>63</v>
      </c>
      <c r="D6" s="8" t="s">
        <v>112</v>
      </c>
      <c r="E6" s="8" t="s">
        <v>135</v>
      </c>
      <c r="F6" s="8" t="s">
        <v>147</v>
      </c>
      <c r="G6" s="8" t="s">
        <v>192</v>
      </c>
    </row>
    <row r="7" spans="1:7">
      <c r="A7" s="7" t="s">
        <v>12</v>
      </c>
      <c r="B7" s="8" t="s">
        <v>18</v>
      </c>
      <c r="C7" s="8" t="s">
        <v>64</v>
      </c>
      <c r="D7" s="8" t="s">
        <v>113</v>
      </c>
      <c r="E7" s="8" t="s">
        <v>136</v>
      </c>
      <c r="F7" s="8" t="s">
        <v>148</v>
      </c>
      <c r="G7" s="8" t="s">
        <v>193</v>
      </c>
    </row>
    <row r="8" spans="1:7">
      <c r="A8" s="9" t="s">
        <v>282</v>
      </c>
      <c r="B8" s="8" t="s">
        <v>19</v>
      </c>
      <c r="C8" s="8" t="s">
        <v>65</v>
      </c>
      <c r="D8" s="8" t="s">
        <v>114</v>
      </c>
      <c r="E8" s="8" t="s">
        <v>137</v>
      </c>
      <c r="F8" s="8" t="s">
        <v>149</v>
      </c>
      <c r="G8" s="8" t="s">
        <v>194</v>
      </c>
    </row>
    <row r="9" spans="1:7">
      <c r="B9" s="8" t="s">
        <v>20</v>
      </c>
      <c r="C9" s="8" t="s">
        <v>66</v>
      </c>
      <c r="D9" s="8" t="s">
        <v>115</v>
      </c>
      <c r="E9" s="8" t="s">
        <v>138</v>
      </c>
      <c r="F9" s="8" t="s">
        <v>150</v>
      </c>
      <c r="G9" s="8" t="s">
        <v>195</v>
      </c>
    </row>
    <row r="10" spans="1:7">
      <c r="B10" s="8" t="s">
        <v>21</v>
      </c>
      <c r="C10" s="8" t="s">
        <v>67</v>
      </c>
      <c r="D10" s="8" t="s">
        <v>116</v>
      </c>
      <c r="E10" s="8" t="s">
        <v>139</v>
      </c>
      <c r="F10" s="8" t="s">
        <v>151</v>
      </c>
      <c r="G10" s="8" t="s">
        <v>196</v>
      </c>
    </row>
    <row r="11" spans="1:7">
      <c r="B11" s="8" t="s">
        <v>22</v>
      </c>
      <c r="C11" s="8" t="s">
        <v>68</v>
      </c>
      <c r="D11" s="8" t="s">
        <v>117</v>
      </c>
      <c r="E11" s="8" t="s">
        <v>140</v>
      </c>
      <c r="F11" s="8" t="s">
        <v>152</v>
      </c>
      <c r="G11" s="8" t="s">
        <v>197</v>
      </c>
    </row>
    <row r="12" spans="1:7">
      <c r="B12" s="8" t="s">
        <v>23</v>
      </c>
      <c r="C12" s="8" t="s">
        <v>69</v>
      </c>
      <c r="D12" s="8" t="s">
        <v>118</v>
      </c>
      <c r="E12" s="8" t="s">
        <v>141</v>
      </c>
      <c r="F12" s="8" t="s">
        <v>153</v>
      </c>
      <c r="G12" s="8" t="s">
        <v>198</v>
      </c>
    </row>
    <row r="13" spans="1:7">
      <c r="B13" s="8" t="s">
        <v>24</v>
      </c>
      <c r="C13" s="8" t="s">
        <v>70</v>
      </c>
      <c r="D13" s="8" t="s">
        <v>119</v>
      </c>
      <c r="E13" s="8" t="s">
        <v>142</v>
      </c>
      <c r="F13" s="8" t="s">
        <v>154</v>
      </c>
      <c r="G13" s="8" t="s">
        <v>199</v>
      </c>
    </row>
    <row r="14" spans="1:7">
      <c r="B14" s="8" t="s">
        <v>25</v>
      </c>
      <c r="C14" s="8" t="s">
        <v>71</v>
      </c>
      <c r="D14" s="8" t="s">
        <v>120</v>
      </c>
      <c r="F14" s="8" t="s">
        <v>155</v>
      </c>
      <c r="G14" s="8" t="s">
        <v>200</v>
      </c>
    </row>
    <row r="15" spans="1:7">
      <c r="B15" s="8" t="s">
        <v>26</v>
      </c>
      <c r="C15" s="8" t="s">
        <v>72</v>
      </c>
      <c r="D15" s="8" t="s">
        <v>121</v>
      </c>
      <c r="F15" s="8" t="s">
        <v>156</v>
      </c>
      <c r="G15" s="8" t="s">
        <v>201</v>
      </c>
    </row>
    <row r="16" spans="1:7">
      <c r="B16" s="8" t="s">
        <v>27</v>
      </c>
      <c r="C16" s="8" t="s">
        <v>73</v>
      </c>
      <c r="D16" s="8" t="s">
        <v>122</v>
      </c>
      <c r="F16" s="8" t="s">
        <v>157</v>
      </c>
    </row>
    <row r="17" spans="2:6">
      <c r="B17" s="8" t="s">
        <v>28</v>
      </c>
      <c r="C17" s="8" t="s">
        <v>74</v>
      </c>
      <c r="D17" s="8" t="s">
        <v>123</v>
      </c>
      <c r="F17" s="8" t="s">
        <v>158</v>
      </c>
    </row>
    <row r="18" spans="2:6">
      <c r="B18" s="8" t="s">
        <v>29</v>
      </c>
      <c r="C18" s="8" t="s">
        <v>75</v>
      </c>
      <c r="D18" s="8" t="s">
        <v>124</v>
      </c>
      <c r="F18" s="8" t="s">
        <v>159</v>
      </c>
    </row>
    <row r="19" spans="2:6">
      <c r="B19" s="8" t="s">
        <v>30</v>
      </c>
      <c r="C19" s="8" t="s">
        <v>76</v>
      </c>
      <c r="D19" s="8" t="s">
        <v>125</v>
      </c>
      <c r="F19" s="8" t="s">
        <v>160</v>
      </c>
    </row>
    <row r="20" spans="2:6">
      <c r="B20" s="8" t="s">
        <v>31</v>
      </c>
      <c r="C20" s="8" t="s">
        <v>77</v>
      </c>
      <c r="D20" s="8" t="s">
        <v>126</v>
      </c>
      <c r="F20" s="8" t="s">
        <v>161</v>
      </c>
    </row>
    <row r="21" spans="2:6">
      <c r="B21" s="8" t="s">
        <v>32</v>
      </c>
      <c r="C21" s="8" t="s">
        <v>208</v>
      </c>
      <c r="D21" s="8" t="s">
        <v>127</v>
      </c>
      <c r="F21" s="8" t="s">
        <v>162</v>
      </c>
    </row>
    <row r="22" spans="2:6">
      <c r="B22" s="8" t="s">
        <v>33</v>
      </c>
      <c r="C22" s="8" t="s">
        <v>78</v>
      </c>
      <c r="D22" s="8" t="s">
        <v>128</v>
      </c>
      <c r="F22" s="8" t="s">
        <v>163</v>
      </c>
    </row>
    <row r="23" spans="2:6">
      <c r="B23" s="8" t="s">
        <v>34</v>
      </c>
      <c r="C23" s="8" t="s">
        <v>79</v>
      </c>
      <c r="D23" s="8" t="s">
        <v>129</v>
      </c>
      <c r="F23" s="8" t="s">
        <v>164</v>
      </c>
    </row>
    <row r="24" spans="2:6">
      <c r="B24" s="8" t="s">
        <v>35</v>
      </c>
      <c r="C24" s="8" t="s">
        <v>80</v>
      </c>
      <c r="D24" s="8" t="s">
        <v>130</v>
      </c>
      <c r="F24" s="8" t="s">
        <v>165</v>
      </c>
    </row>
    <row r="25" spans="2:6">
      <c r="B25" s="8" t="s">
        <v>36</v>
      </c>
      <c r="C25" s="8" t="s">
        <v>81</v>
      </c>
      <c r="F25" s="8" t="s">
        <v>166</v>
      </c>
    </row>
    <row r="26" spans="2:6">
      <c r="B26" s="8" t="s">
        <v>37</v>
      </c>
      <c r="C26" s="8" t="s">
        <v>82</v>
      </c>
      <c r="F26" s="8" t="s">
        <v>167</v>
      </c>
    </row>
    <row r="27" spans="2:6">
      <c r="B27" s="8" t="s">
        <v>38</v>
      </c>
      <c r="C27" s="8" t="s">
        <v>83</v>
      </c>
      <c r="F27" s="8" t="s">
        <v>168</v>
      </c>
    </row>
    <row r="28" spans="2:6">
      <c r="B28" s="8" t="s">
        <v>39</v>
      </c>
      <c r="C28" s="8" t="s">
        <v>84</v>
      </c>
      <c r="F28" s="8" t="s">
        <v>169</v>
      </c>
    </row>
    <row r="29" spans="2:6">
      <c r="B29" s="8" t="s">
        <v>40</v>
      </c>
      <c r="C29" s="8" t="s">
        <v>85</v>
      </c>
      <c r="F29" s="8" t="s">
        <v>170</v>
      </c>
    </row>
    <row r="30" spans="2:6">
      <c r="B30" s="8" t="s">
        <v>41</v>
      </c>
      <c r="C30" s="8" t="s">
        <v>86</v>
      </c>
      <c r="F30" s="8" t="s">
        <v>171</v>
      </c>
    </row>
    <row r="31" spans="2:6">
      <c r="B31" s="8" t="s">
        <v>42</v>
      </c>
      <c r="C31" s="8" t="s">
        <v>87</v>
      </c>
      <c r="F31" s="8" t="s">
        <v>172</v>
      </c>
    </row>
    <row r="32" spans="2:6">
      <c r="B32" s="8" t="s">
        <v>43</v>
      </c>
      <c r="C32" s="8" t="s">
        <v>88</v>
      </c>
      <c r="F32" s="8" t="s">
        <v>173</v>
      </c>
    </row>
    <row r="33" spans="2:6">
      <c r="B33" s="8" t="s">
        <v>44</v>
      </c>
      <c r="C33" s="8" t="s">
        <v>89</v>
      </c>
      <c r="F33" s="8" t="s">
        <v>174</v>
      </c>
    </row>
    <row r="34" spans="2:6">
      <c r="B34" s="8" t="s">
        <v>45</v>
      </c>
      <c r="C34" s="8" t="s">
        <v>90</v>
      </c>
      <c r="F34" s="8" t="s">
        <v>175</v>
      </c>
    </row>
    <row r="35" spans="2:6">
      <c r="B35" s="8" t="s">
        <v>46</v>
      </c>
      <c r="C35" s="8" t="s">
        <v>91</v>
      </c>
      <c r="F35" s="8" t="s">
        <v>176</v>
      </c>
    </row>
    <row r="36" spans="2:6">
      <c r="B36" s="8" t="s">
        <v>47</v>
      </c>
      <c r="C36" s="8" t="s">
        <v>92</v>
      </c>
      <c r="F36" s="8" t="s">
        <v>177</v>
      </c>
    </row>
    <row r="37" spans="2:6">
      <c r="B37" s="8" t="s">
        <v>48</v>
      </c>
      <c r="C37" s="8" t="s">
        <v>93</v>
      </c>
      <c r="F37" s="8" t="s">
        <v>178</v>
      </c>
    </row>
    <row r="38" spans="2:6">
      <c r="B38" s="8" t="s">
        <v>49</v>
      </c>
      <c r="C38" s="8" t="s">
        <v>94</v>
      </c>
      <c r="F38" s="8" t="s">
        <v>179</v>
      </c>
    </row>
    <row r="39" spans="2:6">
      <c r="B39" s="8" t="s">
        <v>50</v>
      </c>
      <c r="C39" s="8" t="s">
        <v>95</v>
      </c>
      <c r="F39" s="8" t="s">
        <v>180</v>
      </c>
    </row>
    <row r="40" spans="2:6">
      <c r="B40" s="8" t="s">
        <v>51</v>
      </c>
      <c r="C40" s="8" t="s">
        <v>96</v>
      </c>
      <c r="F40" s="8" t="s">
        <v>181</v>
      </c>
    </row>
    <row r="41" spans="2:6">
      <c r="B41" s="8" t="s">
        <v>52</v>
      </c>
      <c r="C41" s="8" t="s">
        <v>97</v>
      </c>
      <c r="F41" s="8" t="s">
        <v>182</v>
      </c>
    </row>
    <row r="42" spans="2:6">
      <c r="B42" s="8" t="s">
        <v>53</v>
      </c>
      <c r="C42" s="8" t="s">
        <v>98</v>
      </c>
      <c r="F42" s="8" t="s">
        <v>183</v>
      </c>
    </row>
    <row r="43" spans="2:6">
      <c r="B43" s="8" t="s">
        <v>54</v>
      </c>
      <c r="C43" s="8" t="s">
        <v>99</v>
      </c>
      <c r="F43" s="8" t="s">
        <v>184</v>
      </c>
    </row>
    <row r="44" spans="2:6">
      <c r="B44" s="8" t="s">
        <v>55</v>
      </c>
      <c r="C44" s="8" t="s">
        <v>100</v>
      </c>
      <c r="F44" s="8" t="s">
        <v>185</v>
      </c>
    </row>
    <row r="45" spans="2:6">
      <c r="B45" s="8" t="s">
        <v>56</v>
      </c>
      <c r="C45" s="8" t="s">
        <v>101</v>
      </c>
      <c r="F45" s="8" t="s">
        <v>186</v>
      </c>
    </row>
    <row r="46" spans="2:6">
      <c r="B46" s="8" t="s">
        <v>57</v>
      </c>
      <c r="C46" s="8" t="s">
        <v>102</v>
      </c>
      <c r="F46" s="8" t="s">
        <v>187</v>
      </c>
    </row>
    <row r="47" spans="2:6">
      <c r="B47" s="8" t="s">
        <v>58</v>
      </c>
      <c r="C47" s="8" t="s">
        <v>103</v>
      </c>
    </row>
    <row r="48" spans="2:6">
      <c r="C48" s="8" t="s">
        <v>104</v>
      </c>
    </row>
    <row r="49" spans="1:10">
      <c r="C49" s="8" t="s">
        <v>105</v>
      </c>
    </row>
    <row r="50" spans="1:10">
      <c r="C50" s="8" t="s">
        <v>106</v>
      </c>
    </row>
    <row r="51" spans="1:10">
      <c r="C51" s="8" t="s">
        <v>107</v>
      </c>
    </row>
    <row r="53" spans="1:10" ht="16.5" thickBot="1"/>
    <row r="54" spans="1:10" s="18" customFormat="1">
      <c r="A54" s="10" t="s">
        <v>209</v>
      </c>
      <c r="B54" s="11" t="s">
        <v>222</v>
      </c>
      <c r="C54" s="12" t="s">
        <v>213</v>
      </c>
      <c r="D54" s="13" t="s">
        <v>221</v>
      </c>
      <c r="E54" s="14" t="s">
        <v>234</v>
      </c>
      <c r="F54" s="14" t="s">
        <v>235</v>
      </c>
      <c r="G54" s="15" t="s">
        <v>214</v>
      </c>
      <c r="H54" s="16" t="s">
        <v>220</v>
      </c>
      <c r="I54" s="17" t="s">
        <v>227</v>
      </c>
      <c r="J54" s="16" t="s">
        <v>223</v>
      </c>
    </row>
    <row r="55" spans="1:10" s="27" customFormat="1" ht="54" customHeight="1">
      <c r="A55" s="19" t="s">
        <v>210</v>
      </c>
      <c r="B55" s="20" t="s">
        <v>271</v>
      </c>
      <c r="C55" s="21" t="s">
        <v>253</v>
      </c>
      <c r="D55" s="22" t="s">
        <v>290</v>
      </c>
      <c r="E55" s="23" t="s">
        <v>244</v>
      </c>
      <c r="F55" s="24" t="s">
        <v>236</v>
      </c>
      <c r="G55" s="25" t="s">
        <v>262</v>
      </c>
      <c r="H55" s="26" t="s">
        <v>215</v>
      </c>
      <c r="I55" s="20" t="s">
        <v>267</v>
      </c>
      <c r="J55" s="26" t="s">
        <v>224</v>
      </c>
    </row>
    <row r="56" spans="1:10" s="27" customFormat="1" ht="54" customHeight="1">
      <c r="A56" s="19" t="s">
        <v>211</v>
      </c>
      <c r="B56" s="28" t="s">
        <v>272</v>
      </c>
      <c r="C56" s="21" t="s">
        <v>283</v>
      </c>
      <c r="D56" s="22" t="s">
        <v>291</v>
      </c>
      <c r="E56" s="23" t="s">
        <v>245</v>
      </c>
      <c r="F56" s="24" t="s">
        <v>228</v>
      </c>
      <c r="G56" s="25" t="s">
        <v>263</v>
      </c>
      <c r="H56" s="26" t="s">
        <v>216</v>
      </c>
      <c r="I56" s="20" t="s">
        <v>268</v>
      </c>
      <c r="J56" s="26" t="s">
        <v>225</v>
      </c>
    </row>
    <row r="57" spans="1:10" s="27" customFormat="1" ht="54" customHeight="1">
      <c r="A57" s="19" t="s">
        <v>212</v>
      </c>
      <c r="B57" s="28" t="s">
        <v>273</v>
      </c>
      <c r="C57" s="21" t="s">
        <v>255</v>
      </c>
      <c r="D57" s="22" t="s">
        <v>292</v>
      </c>
      <c r="E57" s="23" t="s">
        <v>246</v>
      </c>
      <c r="F57" s="24" t="s">
        <v>229</v>
      </c>
      <c r="G57" s="25" t="s">
        <v>264</v>
      </c>
      <c r="H57" s="26" t="s">
        <v>217</v>
      </c>
      <c r="I57" s="20" t="s">
        <v>269</v>
      </c>
      <c r="J57" s="26" t="s">
        <v>237</v>
      </c>
    </row>
    <row r="58" spans="1:10" s="27" customFormat="1" ht="54" customHeight="1">
      <c r="A58" s="19"/>
      <c r="B58" s="28" t="s">
        <v>274</v>
      </c>
      <c r="C58" s="21" t="s">
        <v>254</v>
      </c>
      <c r="D58" s="22" t="s">
        <v>293</v>
      </c>
      <c r="E58" s="23" t="s">
        <v>247</v>
      </c>
      <c r="F58" s="24" t="s">
        <v>230</v>
      </c>
      <c r="G58" s="25" t="s">
        <v>265</v>
      </c>
      <c r="H58" s="26" t="s">
        <v>218</v>
      </c>
      <c r="I58" s="20" t="s">
        <v>270</v>
      </c>
      <c r="J58" s="26" t="s">
        <v>226</v>
      </c>
    </row>
    <row r="59" spans="1:10" s="27" customFormat="1" ht="54" customHeight="1">
      <c r="A59" s="19"/>
      <c r="B59" s="28" t="s">
        <v>275</v>
      </c>
      <c r="C59" s="21" t="s">
        <v>256</v>
      </c>
      <c r="D59" s="22" t="s">
        <v>294</v>
      </c>
      <c r="E59" s="23" t="s">
        <v>248</v>
      </c>
      <c r="F59" s="24" t="s">
        <v>231</v>
      </c>
      <c r="G59" s="25" t="s">
        <v>266</v>
      </c>
      <c r="H59" s="26" t="s">
        <v>219</v>
      </c>
      <c r="J59" s="26"/>
    </row>
    <row r="60" spans="1:10" s="27" customFormat="1" ht="54" customHeight="1">
      <c r="A60" s="19"/>
      <c r="B60" s="23" t="s">
        <v>276</v>
      </c>
      <c r="C60" s="21" t="s">
        <v>257</v>
      </c>
      <c r="D60" s="22" t="s">
        <v>295</v>
      </c>
      <c r="E60" s="23" t="s">
        <v>249</v>
      </c>
      <c r="F60" s="24" t="s">
        <v>232</v>
      </c>
      <c r="G60" s="29"/>
      <c r="H60" s="26"/>
      <c r="J60" s="26"/>
    </row>
    <row r="61" spans="1:10" s="27" customFormat="1" ht="54" customHeight="1">
      <c r="A61" s="19"/>
      <c r="B61" s="20" t="s">
        <v>277</v>
      </c>
      <c r="C61" s="21" t="s">
        <v>258</v>
      </c>
      <c r="D61" s="22" t="s">
        <v>296</v>
      </c>
      <c r="E61" s="23" t="s">
        <v>250</v>
      </c>
      <c r="F61" s="24" t="s">
        <v>233</v>
      </c>
      <c r="G61" s="29"/>
      <c r="H61" s="26"/>
      <c r="J61" s="26"/>
    </row>
    <row r="62" spans="1:10" s="27" customFormat="1" ht="54" customHeight="1">
      <c r="A62" s="19"/>
      <c r="B62" s="20" t="s">
        <v>278</v>
      </c>
      <c r="C62" s="21" t="s">
        <v>259</v>
      </c>
      <c r="D62" s="22" t="s">
        <v>297</v>
      </c>
      <c r="E62" s="23" t="s">
        <v>251</v>
      </c>
      <c r="F62" s="24" t="s">
        <v>238</v>
      </c>
      <c r="G62" s="29"/>
      <c r="H62" s="26"/>
      <c r="J62" s="26"/>
    </row>
    <row r="63" spans="1:10" s="27" customFormat="1" ht="54" customHeight="1">
      <c r="A63" s="19"/>
      <c r="B63" s="28" t="s">
        <v>279</v>
      </c>
      <c r="C63" s="21" t="s">
        <v>260</v>
      </c>
      <c r="D63" s="22" t="s">
        <v>299</v>
      </c>
      <c r="E63" s="24" t="s">
        <v>252</v>
      </c>
      <c r="F63" s="24"/>
      <c r="G63" s="29"/>
      <c r="H63" s="26"/>
      <c r="J63" s="26"/>
    </row>
    <row r="64" spans="1:10" s="27" customFormat="1" ht="54" customHeight="1">
      <c r="A64" s="29"/>
      <c r="B64" s="28" t="s">
        <v>280</v>
      </c>
      <c r="C64" s="21" t="s">
        <v>261</v>
      </c>
      <c r="D64" s="22" t="s">
        <v>298</v>
      </c>
      <c r="E64" s="24"/>
      <c r="F64" s="24"/>
      <c r="G64" s="29"/>
      <c r="H64" s="26"/>
      <c r="J64" s="26"/>
    </row>
    <row r="65" spans="1:10" s="27" customFormat="1" ht="54" customHeight="1" thickBot="1">
      <c r="A65" s="30"/>
      <c r="B65" s="31" t="s">
        <v>281</v>
      </c>
      <c r="C65" s="30"/>
      <c r="D65" s="32"/>
      <c r="E65" s="33"/>
      <c r="F65" s="33"/>
      <c r="G65" s="30"/>
      <c r="H65" s="32"/>
      <c r="I65" s="33"/>
      <c r="J65" s="3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9AB-4392-114E-8ED1-CF41FDC2A440}">
  <dimension ref="A1:F2"/>
  <sheetViews>
    <sheetView workbookViewId="0">
      <selection activeCell="F11" sqref="F11"/>
    </sheetView>
  </sheetViews>
  <sheetFormatPr defaultColWidth="10.875" defaultRowHeight="30.95" customHeight="1"/>
  <cols>
    <col min="1" max="1" width="14.5" style="1" bestFit="1" customWidth="1"/>
    <col min="2" max="2" width="10.875" style="1"/>
    <col min="3" max="3" width="23.875" style="1" bestFit="1" customWidth="1"/>
    <col min="4" max="4" width="20.5" style="1" bestFit="1" customWidth="1"/>
    <col min="5" max="5" width="12.875" style="1" customWidth="1"/>
    <col min="6" max="6" width="45.5" style="1" customWidth="1"/>
    <col min="7" max="16384" width="10.875" style="1"/>
  </cols>
  <sheetData>
    <row r="1" spans="1:6" ht="30.95" customHeight="1">
      <c r="A1" s="2" t="s">
        <v>287</v>
      </c>
      <c r="B1" s="2" t="s">
        <v>284</v>
      </c>
      <c r="C1" s="2" t="s">
        <v>286</v>
      </c>
      <c r="D1" s="2" t="s">
        <v>285</v>
      </c>
      <c r="E1" s="2" t="s">
        <v>289</v>
      </c>
      <c r="F1" s="2" t="s">
        <v>5</v>
      </c>
    </row>
    <row r="2" spans="1:6" ht="30.95" customHeight="1">
      <c r="A2" s="3">
        <v>45814</v>
      </c>
      <c r="B2" s="4" t="s">
        <v>288</v>
      </c>
      <c r="C2" s="34" t="s">
        <v>300</v>
      </c>
      <c r="D2" s="4" t="s">
        <v>301</v>
      </c>
      <c r="E2" s="4" t="s">
        <v>288</v>
      </c>
      <c r="F2" s="4"/>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6</vt:i4>
      </vt:variant>
    </vt:vector>
  </HeadingPairs>
  <TitlesOfParts>
    <vt:vector size="11" baseType="lpstr">
      <vt:lpstr>CANGO海外资源库（总）</vt:lpstr>
      <vt:lpstr>CANGO境内资源库</vt:lpstr>
      <vt:lpstr>已清洗机构清单</vt:lpstr>
      <vt:lpstr>列选信息说明</vt:lpstr>
      <vt:lpstr>海外资源库（更新登记册）</vt:lpstr>
      <vt:lpstr>北美洲__North_America</vt:lpstr>
      <vt:lpstr>大洋洲__Oceania</vt:lpstr>
      <vt:lpstr>非洲__Africa</vt:lpstr>
      <vt:lpstr>南美洲__South_America</vt:lpstr>
      <vt:lpstr>欧洲__Europe</vt:lpstr>
      <vt:lpstr>亚洲__Asia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2026-03-04T10:09:49Z</dcterms:modified>
</cp:coreProperties>
</file>